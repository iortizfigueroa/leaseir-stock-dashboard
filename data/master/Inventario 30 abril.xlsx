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rtiz\Downloads\"/>
    </mc:Choice>
  </mc:AlternateContent>
  <xr:revisionPtr revIDLastSave="0" documentId="8_{07C521B5-010B-43D0-8D50-7013284AEEDC}" xr6:coauthVersionLast="47" xr6:coauthVersionMax="47" xr10:uidLastSave="{00000000-0000-0000-0000-000000000000}"/>
  <bookViews>
    <workbookView xWindow="-120" yWindow="-120" windowWidth="29040" windowHeight="16440" xr2:uid="{B769B328-5B45-46E2-A3B0-943C50277CBA}"/>
  </bookViews>
  <sheets>
    <sheet name="Inventario" sheetId="1" r:id="rId1"/>
    <sheet name="Stock en Vuelo" sheetId="2" r:id="rId2"/>
  </sheets>
  <externalReferences>
    <externalReference r:id="rId3"/>
  </externalReferences>
  <definedNames>
    <definedName name="_xlnm._FilterDatabase" localSheetId="0" hidden="1">Inventario!$A$1:$G$1023</definedName>
    <definedName name="_xlnm._FilterDatabase" localSheetId="1" hidden="1">'Stock en Vuelo'!$A$1:$H$28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1" i="2" l="1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F1023" i="1"/>
  <c r="F1022" i="1"/>
  <c r="F1021" i="1"/>
  <c r="F1020" i="1"/>
  <c r="F1019" i="1"/>
  <c r="F1018" i="1"/>
  <c r="F1017" i="1"/>
  <c r="G1016" i="1"/>
  <c r="F1016" i="1"/>
  <c r="F1015" i="1"/>
  <c r="F1014" i="1"/>
  <c r="G1013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G999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G969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G923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G903" i="1"/>
  <c r="F903" i="1"/>
  <c r="F902" i="1"/>
  <c r="F901" i="1"/>
  <c r="F900" i="1"/>
  <c r="F899" i="1"/>
  <c r="F898" i="1"/>
  <c r="F897" i="1"/>
  <c r="F896" i="1"/>
  <c r="F895" i="1"/>
  <c r="G894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G881" i="1"/>
  <c r="F881" i="1"/>
  <c r="F880" i="1"/>
  <c r="F879" i="1"/>
  <c r="F878" i="1"/>
  <c r="F877" i="1"/>
  <c r="F876" i="1"/>
  <c r="F875" i="1"/>
  <c r="F874" i="1"/>
  <c r="F873" i="1"/>
  <c r="G872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G859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G834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G785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G723" i="1"/>
  <c r="F723" i="1"/>
  <c r="F722" i="1"/>
  <c r="F721" i="1"/>
  <c r="F720" i="1"/>
  <c r="G719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G684" i="1"/>
  <c r="F684" i="1"/>
  <c r="G683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G634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G607" i="1"/>
  <c r="F607" i="1"/>
  <c r="F606" i="1"/>
  <c r="F605" i="1"/>
  <c r="F604" i="1"/>
  <c r="F603" i="1"/>
  <c r="G602" i="1"/>
  <c r="F602" i="1"/>
  <c r="G601" i="1"/>
  <c r="F601" i="1"/>
  <c r="F600" i="1"/>
  <c r="G599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G586" i="1"/>
  <c r="F586" i="1"/>
  <c r="F585" i="1"/>
  <c r="F584" i="1"/>
  <c r="F583" i="1"/>
  <c r="F582" i="1"/>
  <c r="F581" i="1"/>
  <c r="G580" i="1"/>
  <c r="F580" i="1"/>
  <c r="F579" i="1"/>
  <c r="F578" i="1"/>
  <c r="F577" i="1"/>
  <c r="F576" i="1"/>
  <c r="F575" i="1"/>
  <c r="G574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G533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G493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G475" i="1"/>
  <c r="F475" i="1"/>
  <c r="F474" i="1"/>
  <c r="F473" i="1"/>
  <c r="F472" i="1"/>
  <c r="F471" i="1"/>
  <c r="F470" i="1"/>
  <c r="F469" i="1"/>
  <c r="F468" i="1"/>
  <c r="F467" i="1"/>
  <c r="F466" i="1"/>
  <c r="G465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G435" i="1"/>
  <c r="F435" i="1"/>
  <c r="F434" i="1"/>
  <c r="F433" i="1"/>
  <c r="F432" i="1"/>
  <c r="F431" i="1"/>
  <c r="F430" i="1"/>
  <c r="F429" i="1"/>
  <c r="G428" i="1"/>
  <c r="F428" i="1"/>
  <c r="F427" i="1"/>
  <c r="G426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G413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G401" i="1"/>
  <c r="F401" i="1"/>
  <c r="F400" i="1"/>
  <c r="F399" i="1"/>
  <c r="F398" i="1"/>
  <c r="F397" i="1"/>
  <c r="F396" i="1"/>
  <c r="G395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G330" i="1"/>
  <c r="F330" i="1"/>
  <c r="G329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G296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G243" i="1"/>
  <c r="F243" i="1"/>
  <c r="F242" i="1"/>
  <c r="F241" i="1"/>
  <c r="F240" i="1"/>
  <c r="F239" i="1"/>
  <c r="F238" i="1"/>
  <c r="F237" i="1"/>
  <c r="F236" i="1"/>
  <c r="F235" i="1"/>
  <c r="G234" i="1"/>
  <c r="F234" i="1"/>
  <c r="F233" i="1"/>
  <c r="F232" i="1"/>
  <c r="F231" i="1"/>
  <c r="F230" i="1"/>
  <c r="F229" i="1"/>
  <c r="F228" i="1"/>
  <c r="F227" i="1"/>
  <c r="G226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G203" i="1"/>
  <c r="F203" i="1"/>
  <c r="F202" i="1"/>
  <c r="F201" i="1"/>
  <c r="G200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G169" i="1"/>
  <c r="F169" i="1"/>
  <c r="F168" i="1"/>
  <c r="G167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G155" i="1"/>
  <c r="F155" i="1"/>
  <c r="F154" i="1"/>
  <c r="F153" i="1"/>
  <c r="F152" i="1"/>
  <c r="F151" i="1"/>
  <c r="F150" i="1"/>
  <c r="F149" i="1"/>
  <c r="F148" i="1"/>
  <c r="G147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G135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G120" i="1"/>
  <c r="F120" i="1"/>
  <c r="G119" i="1"/>
  <c r="F119" i="1"/>
  <c r="F118" i="1"/>
  <c r="F117" i="1"/>
  <c r="F116" i="1"/>
  <c r="F115" i="1"/>
  <c r="F114" i="1"/>
  <c r="G113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J69" i="1"/>
  <c r="F69" i="1"/>
  <c r="F68" i="1"/>
  <c r="J67" i="1"/>
  <c r="H67" i="1"/>
  <c r="H69" i="1" s="1"/>
  <c r="J70" i="1" s="1"/>
  <c r="F67" i="1"/>
  <c r="F66" i="1"/>
  <c r="F65" i="1"/>
  <c r="F64" i="1"/>
  <c r="F63" i="1"/>
  <c r="F62" i="1"/>
  <c r="G61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H26" i="1" s="1"/>
  <c r="I26" i="1" s="1"/>
  <c r="F25" i="1"/>
  <c r="F24" i="1"/>
  <c r="F23" i="1"/>
  <c r="F22" i="1"/>
  <c r="G21" i="1"/>
  <c r="F21" i="1"/>
  <c r="G20" i="1"/>
  <c r="F20" i="1"/>
  <c r="F19" i="1"/>
  <c r="G18" i="1"/>
  <c r="F18" i="1"/>
  <c r="F17" i="1"/>
  <c r="F16" i="1"/>
  <c r="F15" i="1"/>
  <c r="F14" i="1"/>
  <c r="F13" i="1"/>
  <c r="F12" i="1"/>
  <c r="H11" i="1"/>
  <c r="I11" i="1" s="1"/>
  <c r="F11" i="1"/>
  <c r="F10" i="1"/>
  <c r="F9" i="1"/>
  <c r="F8" i="1"/>
  <c r="H7" i="1"/>
  <c r="I7" i="1" s="1"/>
  <c r="F7" i="1"/>
  <c r="F6" i="1"/>
  <c r="H5" i="1"/>
  <c r="I5" i="1" s="1"/>
  <c r="F5" i="1"/>
  <c r="F4" i="1"/>
  <c r="H3" i="1"/>
  <c r="I3" i="1" s="1"/>
  <c r="F3" i="1"/>
  <c r="F2" i="1"/>
  <c r="H2" i="1" s="1"/>
  <c r="I2" i="1" s="1"/>
  <c r="J68" i="1" l="1"/>
</calcChain>
</file>

<file path=xl/sharedStrings.xml><?xml version="1.0" encoding="utf-8"?>
<sst xmlns="http://schemas.openxmlformats.org/spreadsheetml/2006/main" count="2148" uniqueCount="2066">
  <si>
    <t>#</t>
  </si>
  <si>
    <t>Número de artículo</t>
  </si>
  <si>
    <t>Descripción</t>
  </si>
  <si>
    <t>Cantidad acumulada</t>
  </si>
  <si>
    <t>Valor acumulado</t>
  </si>
  <si>
    <t>Precio Unitario</t>
  </si>
  <si>
    <t>Check</t>
  </si>
  <si>
    <t>Valor Buscado</t>
  </si>
  <si>
    <t>Diferencia</t>
  </si>
  <si>
    <t>SPEC-752/230/Q_c</t>
  </si>
  <si>
    <t>Cosmetic 230 Console + Quad HP + Caliport in crate</t>
  </si>
  <si>
    <t>SPEC-586/110/Q_c</t>
  </si>
  <si>
    <t>Xcell 110 Console + Quad HP + Caliport in crate</t>
  </si>
  <si>
    <t>SPEC-752/230/D_c</t>
  </si>
  <si>
    <t>Cosmetic 230 Console + Dual HP + Caliport in crate</t>
  </si>
  <si>
    <t>SPEC-752/230/S_c</t>
  </si>
  <si>
    <t>Cosmetic 230 Console + Single HP + Caliport in crate</t>
  </si>
  <si>
    <t>SPEC-745</t>
  </si>
  <si>
    <t>Leaseir SRF Console</t>
  </si>
  <si>
    <t>SPEC-1466</t>
  </si>
  <si>
    <t>MHR Dual BLEND Handpiece</t>
  </si>
  <si>
    <t>SPEC-1393</t>
  </si>
  <si>
    <t>Leaseir MHR 230 Aesthetic</t>
  </si>
  <si>
    <t>SPEC-212_c</t>
  </si>
  <si>
    <t>Stage 6 MHR Xcell - 230 Console, Final Unpacked</t>
  </si>
  <si>
    <t>SPEC-683_c</t>
  </si>
  <si>
    <t>Leaseir MHR-230-Aesth-b</t>
  </si>
  <si>
    <t>SPEC-1392</t>
  </si>
  <si>
    <t>Leaseir MHR 110 Aesthetic</t>
  </si>
  <si>
    <t>SPEC-225_c</t>
  </si>
  <si>
    <t>Stage 6 MHR Xcell - 110 Console, Final Unpacked</t>
  </si>
  <si>
    <t>SPEC-754/Q_c</t>
  </si>
  <si>
    <t>Quad HP + Caliport packaged for sale</t>
  </si>
  <si>
    <t>SPEC-711_c</t>
  </si>
  <si>
    <t>QUAD-Aesth-Blend-b Handpiece</t>
  </si>
  <si>
    <t>Cantidad</t>
  </si>
  <si>
    <t>SPEC-685_c</t>
  </si>
  <si>
    <t>QUAD-Aesth-810-b Handpiece</t>
  </si>
  <si>
    <t>SPEC-687_c</t>
  </si>
  <si>
    <t>Dual-Aesth-810-b Handpiece</t>
  </si>
  <si>
    <t>SPEC-330</t>
  </si>
  <si>
    <t>LEASEIR DUAL 810-b Handpiece</t>
  </si>
  <si>
    <t>SPEC-350</t>
  </si>
  <si>
    <t>Monocrom - 1ENSPSTM90-026, 808nm diode+Dual Prism</t>
  </si>
  <si>
    <t>SPEC-1395</t>
  </si>
  <si>
    <t>Leaseir Dual Aesthetic Handpiece</t>
  </si>
  <si>
    <t>SPEC-1396</t>
  </si>
  <si>
    <t>Leaseir Quad Aesthetic Handpiece</t>
  </si>
  <si>
    <t>SPEC-91</t>
  </si>
  <si>
    <t>LASER DIODE ENSPSTM038</t>
  </si>
  <si>
    <t>SPEC-93</t>
  </si>
  <si>
    <t>LASER DIODE ENSPSTM033</t>
  </si>
  <si>
    <t>SPEC-1441</t>
  </si>
  <si>
    <t>Quad LH-M [Quad diode M structure) (diodo quad MHR montado)</t>
  </si>
  <si>
    <t>SPEC-479/110</t>
  </si>
  <si>
    <t>LEASEIR MHR LASER SYSTEM 110 CONSOLE</t>
  </si>
  <si>
    <t>SPEC-903</t>
  </si>
  <si>
    <t>Monocrom Laser Diode, 20 bars, 810 nm , 200A, 4000W</t>
  </si>
  <si>
    <t>SPEC-1440</t>
  </si>
  <si>
    <t>Dual LH-M [Dual diode M structure) (diodo dual MHR montado)</t>
  </si>
  <si>
    <t>SPEC-736</t>
  </si>
  <si>
    <t>Monocrom Laser Diode, 20 bars, 810 nm, 200A, 4000W</t>
  </si>
  <si>
    <t>SPEC-1313</t>
  </si>
  <si>
    <t>MHR DS 230V Chiller Cart</t>
  </si>
  <si>
    <t>SPEC-1418</t>
  </si>
  <si>
    <t>QM7 [1200W / 1500W Modular power supply]</t>
  </si>
  <si>
    <t>SPEC-1120</t>
  </si>
  <si>
    <t>PRJ_501-1-50135_C1 [Generador PCB]</t>
  </si>
  <si>
    <t>SPEC-1120/DF</t>
  </si>
  <si>
    <t>PRJ_501-1-50135_C1 [Generador PCB] DEFECTUOSO</t>
  </si>
  <si>
    <t>SPEC-1402</t>
  </si>
  <si>
    <t>Quad 220V Aesthetic Packaging</t>
  </si>
  <si>
    <t>SPEC-118</t>
  </si>
  <si>
    <t>Stage 1 MHR Xcell - 230</t>
  </si>
  <si>
    <t>SPEC-104</t>
  </si>
  <si>
    <t>Water pump</t>
  </si>
  <si>
    <t>SPEC-98</t>
  </si>
  <si>
    <t>Power Supply -  Vega Lite 750</t>
  </si>
  <si>
    <t>SPEC-142</t>
  </si>
  <si>
    <t>Hailea - HC500A - 230V</t>
  </si>
  <si>
    <t>SPEC-146</t>
  </si>
  <si>
    <t>Hailea - HC500A - 110V</t>
  </si>
  <si>
    <t>SPEC-1293</t>
  </si>
  <si>
    <t>PRJ_501-1-50114_B1 [SRF RF PCB]</t>
  </si>
  <si>
    <t>SPEC-1483</t>
  </si>
  <si>
    <t>MHR Ethernet painted back cover</t>
  </si>
  <si>
    <t>SPEC-216</t>
  </si>
  <si>
    <t>MHR Console Back</t>
  </si>
  <si>
    <t>SPEC-746</t>
  </si>
  <si>
    <t>Leaseir SRF FC Handpiece</t>
  </si>
  <si>
    <t>SPEC-1423</t>
  </si>
  <si>
    <t>QM4 [550W / 650W Modular power supply]</t>
  </si>
  <si>
    <t>SPEC-1408</t>
  </si>
  <si>
    <t>MSP-600-36 [Switching power supply, 36V DC, 17.5A, 630W]</t>
  </si>
  <si>
    <t>FMAT-1</t>
  </si>
  <si>
    <t>SUELO DE RETENCIÓN PARA BIDONES  - 150L</t>
  </si>
  <si>
    <t>SPEC-51</t>
  </si>
  <si>
    <t>b Frontal Cover</t>
  </si>
  <si>
    <t>SPEC-1417</t>
  </si>
  <si>
    <t>MSP-600-48 [Power Supply 48V 648W]"</t>
  </si>
  <si>
    <t>SPEC-1185</t>
  </si>
  <si>
    <t>LSR0952X0022 [MHR-A PBA MAIN BOARD]</t>
  </si>
  <si>
    <t>SPEC-1292</t>
  </si>
  <si>
    <t>PRJ_501-1-50110_C1 [SRF Control PCB]</t>
  </si>
  <si>
    <t>SPEC-116</t>
  </si>
  <si>
    <t>MIO-2263E-S3A1E</t>
  </si>
  <si>
    <t>SPEC-470</t>
  </si>
  <si>
    <t>PCB Main Board MDD</t>
  </si>
  <si>
    <t>SPEC-748</t>
  </si>
  <si>
    <t>Leaseir SRF FS Handpiece</t>
  </si>
  <si>
    <t>SPEC-594_c</t>
  </si>
  <si>
    <t>MHR-b Umbilical Xcell</t>
  </si>
  <si>
    <t>SPEC-255</t>
  </si>
  <si>
    <t>MHR Frontal Cover</t>
  </si>
  <si>
    <t>SPEC-749</t>
  </si>
  <si>
    <t>Leaseir SRF BS Handpiece</t>
  </si>
  <si>
    <t>SPEC-480/230</t>
  </si>
  <si>
    <t>MHR 230 Wirings</t>
  </si>
  <si>
    <t>SPEC-99/DF</t>
  </si>
  <si>
    <t>ASM-0278 [Touchscreen Advantech - IDK-1115R-50XGA1] DEFECTUOSO</t>
  </si>
  <si>
    <t>SPEC-99</t>
  </si>
  <si>
    <t>Touchscreen - IDK-1115R-50XGA1</t>
  </si>
  <si>
    <t>SPEC-1161</t>
  </si>
  <si>
    <t>LSR0952X0009 [PCBA Cap Charger LML]</t>
  </si>
  <si>
    <t>SPEC-1416</t>
  </si>
  <si>
    <t>MSP-600-24 [Power Supply 24V 648W]</t>
  </si>
  <si>
    <t>SPEC-258</t>
  </si>
  <si>
    <t>MHR CA Umbilical</t>
  </si>
  <si>
    <t>SPEC-991</t>
  </si>
  <si>
    <t>1222507 [Fan Cooling Heat Sink, Hollow Fin Device, 0.175 °C/W, 74 mm, 62 mm]</t>
  </si>
  <si>
    <t>SPEC-880</t>
  </si>
  <si>
    <t>Leaseir MHR Xcell Console Shipping Crate</t>
  </si>
  <si>
    <t>SPEC-148/DF</t>
  </si>
  <si>
    <t>PCBA MHR-b Capcharger DF</t>
  </si>
  <si>
    <t>SPEC-148</t>
  </si>
  <si>
    <t>PCBA MHR-b Capcharger</t>
  </si>
  <si>
    <t>SPEC-338</t>
  </si>
  <si>
    <t>CA CONSOLE MODULAR CONNECTOR</t>
  </si>
  <si>
    <t>SPEC-1419</t>
  </si>
  <si>
    <t>CAD14ES [MHR DS Flightcase box]</t>
  </si>
  <si>
    <t>SPEC-838</t>
  </si>
  <si>
    <t>Single-b, capillary, chrome coated</t>
  </si>
  <si>
    <t>SPEC-95</t>
  </si>
  <si>
    <t>Capacitor - LNR1H684MSE</t>
  </si>
  <si>
    <t>SPEC-95/DF</t>
  </si>
  <si>
    <t>ASM-0404 [Capacitor - Nichicon LNR1H684MSE] DEFECTUOSO</t>
  </si>
  <si>
    <t>SPEC-426/OER</t>
  </si>
  <si>
    <t>Single Tip, Coated</t>
  </si>
  <si>
    <t>SPEC-1071</t>
  </si>
  <si>
    <t>PTS-1195 [DS AC CHILLER TOP TRAY]</t>
  </si>
  <si>
    <t>SPEC-841</t>
  </si>
  <si>
    <t>Dual-b, capillary welded</t>
  </si>
  <si>
    <t>SPEC-701</t>
  </si>
  <si>
    <t>Dual-b, capillary, chrome coated</t>
  </si>
  <si>
    <t>SPEC-149</t>
  </si>
  <si>
    <t>PCBA MHR-b Mainboard</t>
  </si>
  <si>
    <t>SPEC-705</t>
  </si>
  <si>
    <t>Quad-b, capillary, chrome coated</t>
  </si>
  <si>
    <t>SPEC-842</t>
  </si>
  <si>
    <t>Quad-b, capillary welded</t>
  </si>
  <si>
    <t>SPEC-1163</t>
  </si>
  <si>
    <t>AHR Handpiece covers + hanger clip (2 carcasas + mecanizado Typi + soporte)</t>
  </si>
  <si>
    <t>SPEC-1021</t>
  </si>
  <si>
    <t>AHR COMPUTER LEVI HUMAN MACHINE INTERFACE</t>
  </si>
  <si>
    <t>SPEC-459/DF</t>
  </si>
  <si>
    <t>ASM-0482.002 [ASM Quad Tip] CROMADA Y CON CAPILAR EQUALTIA  DEFECTUOSO</t>
  </si>
  <si>
    <t>SPEC-464/OER</t>
  </si>
  <si>
    <t>ASM Dual Tip</t>
  </si>
  <si>
    <t>SPEC-461/DF</t>
  </si>
  <si>
    <t>ASM-0468.002 [ASM Single Tip] CROMADA Y CON CAPILAR EQUALTIA  DEFECTUOSO</t>
  </si>
  <si>
    <t>SPEC-1361</t>
  </si>
  <si>
    <t>WSRF-0001 [Mains_Box]</t>
  </si>
  <si>
    <t>SPEC-841/DF</t>
  </si>
  <si>
    <t>SPEC-464</t>
  </si>
  <si>
    <t>SPEC-1097</t>
  </si>
  <si>
    <t>PTS-1279 [DS-B INSULATOR]</t>
  </si>
  <si>
    <t>SPEC-703</t>
  </si>
  <si>
    <t>Quad-b, capillary</t>
  </si>
  <si>
    <t>SPEC-840</t>
  </si>
  <si>
    <t>Single-b, capillary welded</t>
  </si>
  <si>
    <t>SPEC-930</t>
  </si>
  <si>
    <t>Frontal_cover_handle PTS-2291.001</t>
  </si>
  <si>
    <t>SPEC-740</t>
  </si>
  <si>
    <t>Dual-b channels, chrome coated</t>
  </si>
  <si>
    <t>SPEC-17</t>
  </si>
  <si>
    <t>Quad-b channels</t>
  </si>
  <si>
    <t>SPEC-1056</t>
  </si>
  <si>
    <t>LSR0952X0006 [MHR-a PCBA CONTROL BOARD]</t>
  </si>
  <si>
    <t>SPEC-427/OER</t>
  </si>
  <si>
    <t>Quad Tip, Coated</t>
  </si>
  <si>
    <t>SPEC-459</t>
  </si>
  <si>
    <t>ASM Quad Tip</t>
  </si>
  <si>
    <t>SPEC-1079</t>
  </si>
  <si>
    <t>W2E142-BB01-01 [DS Axial fan,172x150x38mm]</t>
  </si>
  <si>
    <t>SPEC-842/DF</t>
  </si>
  <si>
    <t>SPEC-427/DF</t>
  </si>
  <si>
    <t>Puntera Quad MHR Cromada (ACRO) CON DEFECTOS</t>
  </si>
  <si>
    <t>SPEC-428/DF</t>
  </si>
  <si>
    <t>Puntera Dual MHR Cromada (ACRO) CON DEFECTOS</t>
  </si>
  <si>
    <t>SPEC-428/OER</t>
  </si>
  <si>
    <t>Dual Tip, coated</t>
  </si>
  <si>
    <t>SPEC-1413</t>
  </si>
  <si>
    <t>TF51A-C24-W103 [TopsFlo DC Micro pump]</t>
  </si>
  <si>
    <t>SPEC-428</t>
  </si>
  <si>
    <t>SPEC-19</t>
  </si>
  <si>
    <t>Dual-b channels</t>
  </si>
  <si>
    <t>SPEC-283</t>
  </si>
  <si>
    <t>FOOT PEDAL</t>
  </si>
  <si>
    <t>SPEC-226/Pack_c</t>
  </si>
  <si>
    <t>Quad caliport packaged for sale</t>
  </si>
  <si>
    <t>SPEC-427</t>
  </si>
  <si>
    <t>SPEC-226</t>
  </si>
  <si>
    <t>Quad HP Calibration Port</t>
  </si>
  <si>
    <t>SPEC-705/DF</t>
  </si>
  <si>
    <t>FMAT-2</t>
  </si>
  <si>
    <t>BANDEJA DE RETENCIÓN - 31L</t>
  </si>
  <si>
    <t>SPEC-701/DF</t>
  </si>
  <si>
    <t>FMAT-11</t>
  </si>
  <si>
    <t>ROLLO UNIVERSAL 50x40cm</t>
  </si>
  <si>
    <t>SPEC-1076</t>
  </si>
  <si>
    <t>PTS-1193 [DS AC CHILLER PVC MOUNT]</t>
  </si>
  <si>
    <t>SPEC-1436</t>
  </si>
  <si>
    <t>Carcasa pistola AHR + soporte (AHR r cover + hanger)</t>
  </si>
  <si>
    <t>SPEC-741</t>
  </si>
  <si>
    <t>Quad-b channels, chrome coated</t>
  </si>
  <si>
    <t>SPEC-461</t>
  </si>
  <si>
    <t>ASM Single Tip</t>
  </si>
  <si>
    <t>SPEC-461/OER</t>
  </si>
  <si>
    <t>SPEC-943</t>
  </si>
  <si>
    <t>Single-b 2024, capillary welded</t>
  </si>
  <si>
    <t>SPEC-1455</t>
  </si>
  <si>
    <t>Armotec PC</t>
  </si>
  <si>
    <t>SPEC-1094</t>
  </si>
  <si>
    <t>PTS-0340 [DS CONNECTOR BOX]</t>
  </si>
  <si>
    <t>SPEC-362</t>
  </si>
  <si>
    <t>MHR-b R cover + Hanger</t>
  </si>
  <si>
    <t>SPEC-234</t>
  </si>
  <si>
    <t>Single HP Calibration Port</t>
  </si>
  <si>
    <t>SPEC-232</t>
  </si>
  <si>
    <t>Dual HP Calibration Port</t>
  </si>
  <si>
    <t>SPEC-232/Pack_c</t>
  </si>
  <si>
    <t>Dual caliport packaged for sale</t>
  </si>
  <si>
    <t>SPEC-339</t>
  </si>
  <si>
    <t>CA AC MAINS</t>
  </si>
  <si>
    <t>SPEC-578</t>
  </si>
  <si>
    <t>Quad-b window</t>
  </si>
  <si>
    <t>SPEC-729</t>
  </si>
  <si>
    <t>Single-b channels, chrome coated</t>
  </si>
  <si>
    <t>SPEC-660</t>
  </si>
  <si>
    <t>Advantech -SQF-SHMM2-64G-S9C</t>
  </si>
  <si>
    <t>SPEC-18</t>
  </si>
  <si>
    <t>Single-b channels</t>
  </si>
  <si>
    <t>SPEC-426</t>
  </si>
  <si>
    <t>SPEC-986</t>
  </si>
  <si>
    <t>AHR Base</t>
  </si>
  <si>
    <t>SPEC-826</t>
  </si>
  <si>
    <t>Quad Tip</t>
  </si>
  <si>
    <t>SPEC-151</t>
  </si>
  <si>
    <t>PCB Control Board</t>
  </si>
  <si>
    <t>SPEC-826/DF</t>
  </si>
  <si>
    <t>PTS-2158.001 [Quad Tip] DEFECTUOSO</t>
  </si>
  <si>
    <t>SPEC-816/DF</t>
  </si>
  <si>
    <t>PTS-2154.001 [Dual Tip] DEFECTUOSO</t>
  </si>
  <si>
    <t>SPEC-97</t>
  </si>
  <si>
    <t>MHR Handpiece hardcase + Foam</t>
  </si>
  <si>
    <t>SPEC-1191</t>
  </si>
  <si>
    <t>Pedal guard</t>
  </si>
  <si>
    <t>SPEC-1405</t>
  </si>
  <si>
    <t>AHR R cover + Hanger</t>
  </si>
  <si>
    <t>SPEC-783</t>
  </si>
  <si>
    <t>4G SO-DDR3-1600 RAM Memory</t>
  </si>
  <si>
    <t>SPEC-994</t>
  </si>
  <si>
    <t>902-978 [Thermostat IDNext 902-978]</t>
  </si>
  <si>
    <t>SPEC-1012</t>
  </si>
  <si>
    <t>AHR Shipping crate</t>
  </si>
  <si>
    <t>SPEC-816</t>
  </si>
  <si>
    <t>Dual Tip</t>
  </si>
  <si>
    <t>SPEC-782</t>
  </si>
  <si>
    <t>Quakertek Aldeba GT-6, Anhydrous Calcium Grease, 4.5 Kg Can</t>
  </si>
  <si>
    <t>SPEC-1100</t>
  </si>
  <si>
    <t>PTS-1199 [DS AC CHILLER COVER FRONT]</t>
  </si>
  <si>
    <t>SPEC-506</t>
  </si>
  <si>
    <t>Carcasa pistola MDD + soporte (MDD r cover + hanger)</t>
  </si>
  <si>
    <t>SPEC-1430</t>
  </si>
  <si>
    <t>ALS70A134NF063 [85C - Screw Terminal Aluminum Capacitor]</t>
  </si>
  <si>
    <t>SPEC-928</t>
  </si>
  <si>
    <t>Single-b 2024, capillary, chrome coated</t>
  </si>
  <si>
    <t>SPEC-529</t>
  </si>
  <si>
    <t>Norland Optical Adhesive - 68</t>
  </si>
  <si>
    <t>SPEC-1049</t>
  </si>
  <si>
    <t>3116670 [SRF Vacuum filter, 1/8" cpl]</t>
  </si>
  <si>
    <t>SPEC-739</t>
  </si>
  <si>
    <t>Quad Blend 14x24 Prism</t>
  </si>
  <si>
    <t>SPEC-935</t>
  </si>
  <si>
    <t>Single 10.8x10.8 Prism</t>
  </si>
  <si>
    <t>SPEC-988</t>
  </si>
  <si>
    <t>AHR BACK V1 (Back cover)</t>
  </si>
  <si>
    <t>SPEC-1048</t>
  </si>
  <si>
    <t>BD-07 [Boden BD-07 Micro Piston pump]</t>
  </si>
  <si>
    <t>SPEC-1203</t>
  </si>
  <si>
    <t>PTS-0936 [DS-b back Cover]</t>
  </si>
  <si>
    <t>SPEC-1114</t>
  </si>
  <si>
    <t>PTS-1178 [SRF Generator Heatsink]</t>
  </si>
  <si>
    <t>SPEC-329</t>
  </si>
  <si>
    <t>Base (blue painted)</t>
  </si>
  <si>
    <t>SPEC-1454</t>
  </si>
  <si>
    <t>Armortec SSD</t>
  </si>
  <si>
    <t>SPEC-535</t>
  </si>
  <si>
    <t>Advantech - SSD 32Gb - Spare part</t>
  </si>
  <si>
    <t>SPEC-929</t>
  </si>
  <si>
    <t>Single-b 2024, window</t>
  </si>
  <si>
    <t>SPEC-738</t>
  </si>
  <si>
    <t>Dual Blend 12x14 Prism</t>
  </si>
  <si>
    <t>SPEC-1477</t>
  </si>
  <si>
    <t>Single/Dual/Quad MHR sensor</t>
  </si>
  <si>
    <t>SPEC-50</t>
  </si>
  <si>
    <t>MHR-b HP Cover L</t>
  </si>
  <si>
    <t>SPEC-804</t>
  </si>
  <si>
    <t>TL-PA4010P Kit, Router 600 Mb/s, AV600 Passthrough Powerline Starter Kit</t>
  </si>
  <si>
    <t>SPEC-430</t>
  </si>
  <si>
    <t>Quad window</t>
  </si>
  <si>
    <t>SPEC-251</t>
  </si>
  <si>
    <t>MHR top tray</t>
  </si>
  <si>
    <t>SPEC-810</t>
  </si>
  <si>
    <t>Loctite 243, single component anaerobic threadlocking glue, 50 mL</t>
  </si>
  <si>
    <t>SPEC-823</t>
  </si>
  <si>
    <t>Single Tip</t>
  </si>
  <si>
    <t>SPEC-823/DF</t>
  </si>
  <si>
    <t>PTS-2156.001 [Single Tip] DEFECTUOSO</t>
  </si>
  <si>
    <t>SPEC-426/DF</t>
  </si>
  <si>
    <t>PTS-0490.002 [Single Tip, Coated] (ACRO) DEFECTUOSO</t>
  </si>
  <si>
    <t>SPEC-1501</t>
  </si>
  <si>
    <t>Quad 14x24 - Aesth Blend Prism</t>
  </si>
  <si>
    <t>SPEC-1480</t>
  </si>
  <si>
    <t>AHR umbilical Cord</t>
  </si>
  <si>
    <t>SPEC-818</t>
  </si>
  <si>
    <t>Tubo Araldite Adhesive, 5 min, 2x75 ml</t>
  </si>
  <si>
    <t>SPEC-465_c</t>
  </si>
  <si>
    <t>Sensors 10Bs</t>
  </si>
  <si>
    <t>SPEC-202</t>
  </si>
  <si>
    <t>Shunt 30A-60mV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</si>
  <si>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</si>
  <si>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</si>
  <si>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</si>
  <si>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</si>
  <si>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</si>
  <si>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</si>
  <si>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SPEC-1412</t>
  </si>
  <si>
    <t>Pneumatic pedal</t>
  </si>
  <si>
    <t>SPEC-1022</t>
  </si>
  <si>
    <t>MSP-100-12 [AC/DC CONVERTER 12V 102W]</t>
  </si>
  <si>
    <t>SPEC-824</t>
  </si>
  <si>
    <t>Finder modular contactor, 25 A, 4 poles, 3NO+1NC</t>
  </si>
  <si>
    <t>SPEC-431</t>
  </si>
  <si>
    <t>Dual window</t>
  </si>
  <si>
    <t>SPEC-1334</t>
  </si>
  <si>
    <t>ASM-0335.001 [PCBA SRF Suction Sense]</t>
  </si>
  <si>
    <t>SPEC-730</t>
  </si>
  <si>
    <t>Single 8x8 Prism</t>
  </si>
  <si>
    <t>SPEC-348</t>
  </si>
  <si>
    <t>CA STOP SWITCH</t>
  </si>
  <si>
    <t>SPEC-541</t>
  </si>
  <si>
    <t>Moludar contactor, 25A, 4 Poles</t>
  </si>
  <si>
    <t>SPEC-640</t>
  </si>
  <si>
    <t>SRF Top Tray</t>
  </si>
  <si>
    <t>SPEC-1367</t>
  </si>
  <si>
    <t>WSRF-0007 [Console_Harting]</t>
  </si>
  <si>
    <t>SPEC-914</t>
  </si>
  <si>
    <t>Loctite 270, anaerobic threadlocking glue, 50 ml</t>
  </si>
  <si>
    <t>SPEC-1429</t>
  </si>
  <si>
    <t>PTS-2270 [Umbilical guide]</t>
  </si>
  <si>
    <t>SPEC-769</t>
  </si>
  <si>
    <t>Gymcol Anaerobic Adhesive</t>
  </si>
  <si>
    <t>SPEC-755</t>
  </si>
  <si>
    <t>Win 10 IoT Ent 2019 LTSC Entry</t>
  </si>
  <si>
    <t>SPEC-1000</t>
  </si>
  <si>
    <t>CARCASA FRONTAL AHR</t>
  </si>
  <si>
    <t>SPEC-721</t>
  </si>
  <si>
    <t>Single-b Window</t>
  </si>
  <si>
    <t>SPEC-1098</t>
  </si>
  <si>
    <t>TDEX6015/TH12G [DS Heatsink fan, 0.5K/W, 60 x 60 x 47mm]</t>
  </si>
  <si>
    <t>SPEC-24</t>
  </si>
  <si>
    <t>MHR-b Umbilical coupling</t>
  </si>
  <si>
    <t>SPEC-1269</t>
  </si>
  <si>
    <t>PTS-1274 [SRF Connector x2 cover with rods]</t>
  </si>
  <si>
    <t>SPEC-636/DF</t>
  </si>
  <si>
    <t>PTS-1929.001 [SRF Base 910 Painted] DEFECTUOSO</t>
  </si>
  <si>
    <t>SPEC-636</t>
  </si>
  <si>
    <t>SRF Base 910 Painted, RAL 9010</t>
  </si>
  <si>
    <t>SPEC-1023</t>
  </si>
  <si>
    <t>MSP-100-24 [AC/DC CONVERTER 24V 108W]</t>
  </si>
  <si>
    <t>SPEC-734</t>
  </si>
  <si>
    <t>Dual 13,5x14,5 Prism</t>
  </si>
  <si>
    <t>SPEC-156</t>
  </si>
  <si>
    <t>PCBA MHR-b Caliport</t>
  </si>
  <si>
    <t>SPEC-573</t>
  </si>
  <si>
    <t>Dual-b Window</t>
  </si>
  <si>
    <t>SPEC-1003</t>
  </si>
  <si>
    <t>MARCO ORDENADOR (AHR)</t>
  </si>
  <si>
    <t>SPEC-1069</t>
  </si>
  <si>
    <t>PTS-1209 [DS AC CHILLER X BASE 1]</t>
  </si>
  <si>
    <t>SPEC-1070</t>
  </si>
  <si>
    <t>PTS-1204 [DS AC CHILLER X BASE 2]</t>
  </si>
  <si>
    <t>SPEC-615</t>
  </si>
  <si>
    <t>MHR-b Hanger port</t>
  </si>
  <si>
    <t>SPEC-1001</t>
  </si>
  <si>
    <t>CARCASA SUPERIOR AHR</t>
  </si>
  <si>
    <t>SPEC-1188</t>
  </si>
  <si>
    <t>LSR0952X0020 [MHR-a PCBA HAND PIECE BUFFER]</t>
  </si>
  <si>
    <t>SPEC-354_c</t>
  </si>
  <si>
    <t>Sensors 20Bs</t>
  </si>
  <si>
    <t>SPEC-429</t>
  </si>
  <si>
    <t>Single window</t>
  </si>
  <si>
    <t>SPEC-932</t>
  </si>
  <si>
    <t>Single-b 2024, frame</t>
  </si>
  <si>
    <t>SPEC-1046</t>
  </si>
  <si>
    <t>1012673 [Alphacool Cape Corp Coolplex Pro 10LT reservoir]</t>
  </si>
  <si>
    <t>SPEC-1078</t>
  </si>
  <si>
    <t>PTS-1200 [DS AC CHILLER COVER BACK]</t>
  </si>
  <si>
    <t>SPEC-735</t>
  </si>
  <si>
    <t>Quad 25,5x14,5 Prism</t>
  </si>
  <si>
    <t>SPEC-492/DF</t>
  </si>
  <si>
    <t>PTS-0088.002 [Mains, Key, Fuse Enclosure] DEFECTUOSO</t>
  </si>
  <si>
    <t>SPEC-542</t>
  </si>
  <si>
    <t>Mains box - b</t>
  </si>
  <si>
    <t>SPEC-492</t>
  </si>
  <si>
    <t>Mains, Key, Fuse Enclosure</t>
  </si>
  <si>
    <t>SPEC-39</t>
  </si>
  <si>
    <t>MHR-b CaliQuad Body</t>
  </si>
  <si>
    <t>SPEC-1348</t>
  </si>
  <si>
    <t>ASM-2256 [PCBA BS SUCTION]</t>
  </si>
  <si>
    <t>SPEC-1289</t>
  </si>
  <si>
    <t>PTS-2332 [HP SRF Support]</t>
  </si>
  <si>
    <t>SPEC-1088</t>
  </si>
  <si>
    <t>PTS-1031 [DS MAIN MOUNT]</t>
  </si>
  <si>
    <t>SPEC-1054</t>
  </si>
  <si>
    <t>09 14 006 0313 [x2 Hinged Frame 6B (a-b)]</t>
  </si>
  <si>
    <t>SPEC-1219</t>
  </si>
  <si>
    <t>107271 [FLAT RUBBER PEDAL]</t>
  </si>
  <si>
    <t>SPEC-1368</t>
  </si>
  <si>
    <t>WSRF-0008 [Foot_Switch]</t>
  </si>
  <si>
    <t>SPEC-1370</t>
  </si>
  <si>
    <t>WSRF-0010 [Generator_Power]</t>
  </si>
  <si>
    <t>SPEC-21</t>
  </si>
  <si>
    <t>Dual-b Frame</t>
  </si>
  <si>
    <t>SPEC-23</t>
  </si>
  <si>
    <t>Quad-b Frame</t>
  </si>
  <si>
    <t>SPEC-424</t>
  </si>
  <si>
    <t>Harting 8 signal female - 09 14 008 2734</t>
  </si>
  <si>
    <t>SPEC-1220</t>
  </si>
  <si>
    <t>AD592CNZ [Temperature Sensor IC, Analogue, 0.5°C, -25 °C, 105 °C, TO-92, 3 Pins]</t>
  </si>
  <si>
    <t>SPEC-646</t>
  </si>
  <si>
    <t>SRF Radiador tripe Alphacool (spec-646)</t>
  </si>
  <si>
    <t>Spec-945</t>
  </si>
  <si>
    <t>Transistor MOSFET, PolarFET, Canal N, 200 A, 100 V, 0.0075 ohm, 5 V</t>
  </si>
  <si>
    <t>SPEC-1035</t>
  </si>
  <si>
    <t>AHR Textil cover</t>
  </si>
  <si>
    <t>SPEC-303/5M</t>
  </si>
  <si>
    <t>IEC C19 Power Cord - Europa - 5 meters</t>
  </si>
  <si>
    <t>SPEC-774</t>
  </si>
  <si>
    <t>CRC Dust Free 360 cleaner,250mL</t>
  </si>
  <si>
    <t>SPEC-5</t>
  </si>
  <si>
    <t>b Mosfet Heat Spreader</t>
  </si>
  <si>
    <t>SPEC-157</t>
  </si>
  <si>
    <t>PCBA MHR-b PS Relay</t>
  </si>
  <si>
    <t>SPEC-1443</t>
  </si>
  <si>
    <t>Filtro Schurter 3-124-295</t>
  </si>
  <si>
    <t>SPEC-205</t>
  </si>
  <si>
    <t>b touch protector</t>
  </si>
  <si>
    <t>SPEC-205/DF</t>
  </si>
  <si>
    <t>PTS-0815.003 [b touch protector] DEFECTUOSO</t>
  </si>
  <si>
    <t>SPEC-923/DF</t>
  </si>
  <si>
    <t>Umbilical strain relief DF</t>
  </si>
  <si>
    <t>SPEC-753</t>
  </si>
  <si>
    <t>Operator goggles 750-1100 nm O.D7+</t>
  </si>
  <si>
    <t>SPEC-689</t>
  </si>
  <si>
    <t>Harting 09 30 016 0301 Connector Cover Han 16B-HBM-double lever</t>
  </si>
  <si>
    <t>SPEC-1280</t>
  </si>
  <si>
    <t>ASM-1655 [SRF PCB PS]</t>
  </si>
  <si>
    <t>SPEC-250</t>
  </si>
  <si>
    <t>Caliport (Calibay MHR)</t>
  </si>
  <si>
    <t>SPEC-923</t>
  </si>
  <si>
    <t>Umbilical strain relief</t>
  </si>
  <si>
    <t>SPEC-612</t>
  </si>
  <si>
    <t>Vernis Insulating Silicone Varnish- V 991</t>
  </si>
  <si>
    <t>SPEC-1301</t>
  </si>
  <si>
    <t>PTS-0260 [SRF Umbillical Cover]</t>
  </si>
  <si>
    <t>SPEC-1117/DF</t>
  </si>
  <si>
    <t>PTS-1161 [SRF BS RF Mount] DEFECTUOSO</t>
  </si>
  <si>
    <t>SPEC-852</t>
  </si>
  <si>
    <t>Welding strip 60% Sn 40% Pb, 1mm 250g</t>
  </si>
  <si>
    <t>Aduana</t>
  </si>
  <si>
    <t>SPEC-829</t>
  </si>
  <si>
    <t>UHU Plus endfest 2K 90 min</t>
  </si>
  <si>
    <t>SPEC-303/5M/DF</t>
  </si>
  <si>
    <t>IEC C19 Power Cord - Europa - 5 meters DEFECTUOSO</t>
  </si>
  <si>
    <t>SPEC-937</t>
  </si>
  <si>
    <t>MHR-b Umbilical strain relief support</t>
  </si>
  <si>
    <t>SPEC-154</t>
  </si>
  <si>
    <t>PCBA MHR-b HP Main</t>
  </si>
  <si>
    <t>SPEC-268</t>
  </si>
  <si>
    <t>HP Hanger Port</t>
  </si>
  <si>
    <t>SPEC-436</t>
  </si>
  <si>
    <t>Mains EMI Filter - SFN2030B-16-06</t>
  </si>
  <si>
    <t>SPEC-36</t>
  </si>
  <si>
    <t>b - HP connector enclosure x4 (HARTBASE)</t>
  </si>
  <si>
    <t>SPEC-543/DF</t>
  </si>
  <si>
    <t>PTS-0226.003 [x4 Conn Cons Cover] DEFECTUOSO</t>
  </si>
  <si>
    <t>SPEC-543</t>
  </si>
  <si>
    <t>x4 Conn Cons Cover</t>
  </si>
  <si>
    <t>SPEC-36/DF</t>
  </si>
  <si>
    <t>PTS-1646.002 [b- HP connector enclosure x4] DEFECTUOSO</t>
  </si>
  <si>
    <t>SPEC-256</t>
  </si>
  <si>
    <t>Stop switch EAO - 51-259.025</t>
  </si>
  <si>
    <t>SPEC-37</t>
  </si>
  <si>
    <t>MHR-b CaliSingle Body</t>
  </si>
  <si>
    <t>SPEC-456/DF</t>
  </si>
  <si>
    <t>Han Modular x2 40A - HARTING 09 14 002 2701 DF</t>
  </si>
  <si>
    <t>SPEC-725</t>
  </si>
  <si>
    <t>Single-b Frame</t>
  </si>
  <si>
    <t>SPEC-436/DF</t>
  </si>
  <si>
    <t>PTS-0409 [Mains Emi filter - Schaffner SFN2030B-16-06] DEFECTUOSO</t>
  </si>
  <si>
    <t>SPEC-1345</t>
  </si>
  <si>
    <t>09 14 006 0371 [Han hinged frame plus, for 2 modules a-b]</t>
  </si>
  <si>
    <t>SPEC-850</t>
  </si>
  <si>
    <t>Inox polishing paste</t>
  </si>
  <si>
    <t>SPEC-487</t>
  </si>
  <si>
    <t>PCB Buffer ASM (placa PCB de los MDD, no de los MHR)</t>
  </si>
  <si>
    <t>SPEC-1077</t>
  </si>
  <si>
    <t>PTS-1192 [DS AC CHILLER COVER BASE]</t>
  </si>
  <si>
    <t>SPEC-280</t>
  </si>
  <si>
    <t>Operator goggles - ATD #52 780-830nm O.D6+</t>
  </si>
  <si>
    <t>SPEC-851</t>
  </si>
  <si>
    <t>SnPb60 FLUX B2.1 2 mm</t>
  </si>
  <si>
    <t>SPEC-859</t>
  </si>
  <si>
    <t>SnPb60 FLUX 2.1 0.5 mm, 250g</t>
  </si>
  <si>
    <t>SPEC-107</t>
  </si>
  <si>
    <t>RAM Memory - AQD-SD3L2GN16-SQ1</t>
  </si>
  <si>
    <t>SPEC-108</t>
  </si>
  <si>
    <t>Connector x4 Hinged Frame - 09 14 016 0303</t>
  </si>
  <si>
    <t>SPEC-1426</t>
  </si>
  <si>
    <t>PLC-RSC-12DC/21 [Interface Relay, DIN Rail Mount, 12V dc Coil, SPDT, 1-Pole]</t>
  </si>
  <si>
    <t>SPEC-1118</t>
  </si>
  <si>
    <t>PTS-1182 [SFR Generator heatsink mount]</t>
  </si>
  <si>
    <t>SPEC-1130</t>
  </si>
  <si>
    <t>490-1317 [Peltier Module, 17.9W, 3.9A, 7.6V, 30 x 15mm]</t>
  </si>
  <si>
    <t>SPEC-456</t>
  </si>
  <si>
    <t>Han Modular x2 40A - HARTING 09 14 002 2701</t>
  </si>
  <si>
    <t>SPEC-1276</t>
  </si>
  <si>
    <t>09 14 006 0361 [Han hinged frame plus, for 2 modules A-B]</t>
  </si>
  <si>
    <t>SPEC-1043</t>
  </si>
  <si>
    <t>09 14 006 0303 [x2 Hinged Frame 6B (A-B)]</t>
  </si>
  <si>
    <t>SPEC-1109</t>
  </si>
  <si>
    <t>126250 [CRM SYNERGIES Welding strip, 60% Sn 40% Pb, 1mm, 100GRMS]</t>
  </si>
  <si>
    <t>SPEC-1173</t>
  </si>
  <si>
    <t>LSR0952X0026 [MANHATTAN PCB MODULE]</t>
  </si>
  <si>
    <t>SPEC-1126</t>
  </si>
  <si>
    <t>PTS-0267 [SRF FC Wedge]</t>
  </si>
  <si>
    <t>SPEC-112</t>
  </si>
  <si>
    <t>Harting 09140022602</t>
  </si>
  <si>
    <t>SPEC-1279</t>
  </si>
  <si>
    <t>VDW250-5G-2-01F-Q [Solenoid Valve, 3 port(s) , NO/NC, 24 V dc, 1/8in]</t>
  </si>
  <si>
    <t>SPEC-831</t>
  </si>
  <si>
    <t>Rear Lens</t>
  </si>
  <si>
    <t>SPEC-1176</t>
  </si>
  <si>
    <t>SILVER KING LIQUID METAL COMPOUND</t>
  </si>
  <si>
    <t>SPEC-38</t>
  </si>
  <si>
    <t>MHR-b CaliDual Body</t>
  </si>
  <si>
    <t>SPEC-31</t>
  </si>
  <si>
    <t>MHR-b caliport housing</t>
  </si>
  <si>
    <t>SPEC-257</t>
  </si>
  <si>
    <t>Mains Power Switch - MSM_19_LA_CS_ST_2P</t>
  </si>
  <si>
    <t>SPEC-1333</t>
  </si>
  <si>
    <t>ASM-0332.001 [PCBA HP BS Board]</t>
  </si>
  <si>
    <t>SPEC-605</t>
  </si>
  <si>
    <t>Legris black tube, 3mm OD, 1.8mm ID - 1025U030118</t>
  </si>
  <si>
    <t>SPEC-815</t>
  </si>
  <si>
    <t>Kontakt Chemie PCB cleaner, 400 mL</t>
  </si>
  <si>
    <t>SPEC-35</t>
  </si>
  <si>
    <t>MHR-b Umbilical Ferrule</t>
  </si>
  <si>
    <t>SPEC-1304</t>
  </si>
  <si>
    <t>BAHÍA MHR COMPLETA EQUALTIA</t>
  </si>
  <si>
    <t>SPEC-1124</t>
  </si>
  <si>
    <t>PTS-1164 [SRF BS applied]</t>
  </si>
  <si>
    <t>SPEC-453</t>
  </si>
  <si>
    <t>Airswitch - Herga 6872-AC</t>
  </si>
  <si>
    <t>SPEC-1386</t>
  </si>
  <si>
    <t>286163 [AHR SWITCH PEDAL]</t>
  </si>
  <si>
    <t>SPEC-1421</t>
  </si>
  <si>
    <t>ASM-1127 [SRF FC/FS Foam]</t>
  </si>
  <si>
    <t>SPEC-1422</t>
  </si>
  <si>
    <t>ASM-1128 [SRF BS Foam]</t>
  </si>
  <si>
    <t>SPEC-767</t>
  </si>
  <si>
    <t>Tangit PVC-U Special Adhesive</t>
  </si>
  <si>
    <t>SPEC-100</t>
  </si>
  <si>
    <t>Wheel</t>
  </si>
  <si>
    <t>SPEC-1117</t>
  </si>
  <si>
    <t>PTS-1161 [SRF BS RF Mount]</t>
  </si>
  <si>
    <t>SPEC-248</t>
  </si>
  <si>
    <t>Power-supply Enclosure</t>
  </si>
  <si>
    <t>SPEC-1206</t>
  </si>
  <si>
    <t>5130.0201 [16 IEC Appliance Inlet C20 with Filter]</t>
  </si>
  <si>
    <t>SPEC-1063</t>
  </si>
  <si>
    <t>09 14 000 6353 [Connector Contact, Pneumatic, Out Dia 3mm, Pin, Crimp, Brass]</t>
  </si>
  <si>
    <t>SPEC-1299</t>
  </si>
  <si>
    <t>PTS-1937 [FS Applier copper]</t>
  </si>
  <si>
    <t>SPEC-1025</t>
  </si>
  <si>
    <t>HR HANGER CONSOLE SIDE (SOPORTE PISTOLA ALUMIDE AHR)</t>
  </si>
  <si>
    <t>SPEC-1027</t>
  </si>
  <si>
    <t>HANGER PLUG AHR (SOPORTE PISTOLA AHR) (se entrega a Typi)</t>
  </si>
  <si>
    <t>SPEC-279</t>
  </si>
  <si>
    <t>Textile cover</t>
  </si>
  <si>
    <t>SPEC-1212</t>
  </si>
  <si>
    <t>PTS-0628 [DS QUICK CON COVER]</t>
  </si>
  <si>
    <t>SPEC-1268</t>
  </si>
  <si>
    <t>PTS-0701 [MHR-DS PLATFORM HP HANGER PORT]</t>
  </si>
  <si>
    <t>SPEC-987</t>
  </si>
  <si>
    <t>AHR TOP (Electronics support top cover)</t>
  </si>
  <si>
    <t>SPEC-1125</t>
  </si>
  <si>
    <t>PTS-0258 [SRF FC Body]</t>
  </si>
  <si>
    <t>SPEC-1175</t>
  </si>
  <si>
    <t>NURAL 10 [REPAIR PUTTY BAR, 110grs]</t>
  </si>
  <si>
    <t>SPEC-587</t>
  </si>
  <si>
    <t>Semiconductor thermal grease</t>
  </si>
  <si>
    <t>SPEC-100/DF</t>
  </si>
  <si>
    <t>ASM-1564 [Tente - 5947 UAP 100 P30-11 RAL7001] DEFECTUOSO</t>
  </si>
  <si>
    <t>SPEC-1011/DF</t>
  </si>
  <si>
    <t>00770444 [Caster wheel, 5947UAP100P30-11 9002/3000/7015 2.0, white] DEFECTUOSO</t>
  </si>
  <si>
    <t>SPEC-1011</t>
  </si>
  <si>
    <t>00770444 [Caster wheel, 5947UAP100P30-11 9002/3000/7015 2.0, white]</t>
  </si>
  <si>
    <t>SPEC-1272</t>
  </si>
  <si>
    <t>1817 00 10 [Cylindrical BSP female thread bushing G1/8, 19 mm]</t>
  </si>
  <si>
    <t>SPEC-1</t>
  </si>
  <si>
    <t>MHR-b Top Tray</t>
  </si>
  <si>
    <t>SPEC-1010</t>
  </si>
  <si>
    <t>PLACA RUEDAS POLIETILENO AHR 430x395x20mm</t>
  </si>
  <si>
    <t>SPEC-1008</t>
  </si>
  <si>
    <t>3136218 [Un-Filtered IEC Power Entry Module, IEC C14, 10A, 250 VAC, 2-Pole Switch]</t>
  </si>
  <si>
    <t>SPEC-776</t>
  </si>
  <si>
    <t>IEC Appliance Inlet C20 with Filter</t>
  </si>
  <si>
    <t>SPEC-110</t>
  </si>
  <si>
    <t>Pneumatic contact female 4 mm - 09 14 000 6258</t>
  </si>
  <si>
    <t>SPEC-962</t>
  </si>
  <si>
    <t>HARA0501 [HC-300/500 PROBE 8cm] (sonda de temperatura)</t>
  </si>
  <si>
    <t>SPEC-643</t>
  </si>
  <si>
    <t>SRF Hydraulic Mount</t>
  </si>
  <si>
    <t>SPEC-1116</t>
  </si>
  <si>
    <t>PTS-1162 [SRF BS Tip Back]</t>
  </si>
  <si>
    <t>SPEC-830</t>
  </si>
  <si>
    <t>Diode Base</t>
  </si>
  <si>
    <t>SPEC-1230</t>
  </si>
  <si>
    <t>BOX OF NITRILE GLOVES SIZE 6</t>
  </si>
  <si>
    <t>SPEC-1172</t>
  </si>
  <si>
    <t>WHITE CELLULOSE PAPER ROLL</t>
  </si>
  <si>
    <t>SPEC-1232</t>
  </si>
  <si>
    <t>BOX OF NITRILE GLOVES SIZE 8</t>
  </si>
  <si>
    <t>SPEC-1233</t>
  </si>
  <si>
    <t>BOX OF NITRILE GLOVES SIZE 9</t>
  </si>
  <si>
    <t>SPEC-773</t>
  </si>
  <si>
    <t>Tesa White duct tape 48mm x50m , 0.18mm thickness</t>
  </si>
  <si>
    <t>SPEC-1414</t>
  </si>
  <si>
    <t>MHR DS Painted Crate Mount</t>
  </si>
  <si>
    <t>SPEC-910</t>
  </si>
  <si>
    <t>Silicone Thermal Grease, 2W/m·K</t>
  </si>
  <si>
    <t>SPEC-265</t>
  </si>
  <si>
    <t>Screen support fixture</t>
  </si>
  <si>
    <t>SPEC-419</t>
  </si>
  <si>
    <t>Connector console cover</t>
  </si>
  <si>
    <t>SPEC-1095</t>
  </si>
  <si>
    <t>PTS-1217 [DS-B PUMP MOUNT]</t>
  </si>
  <si>
    <t>SPEC-1127</t>
  </si>
  <si>
    <t>PTS-1170 [SRF FS tip mount]</t>
  </si>
  <si>
    <t>SPEC-32</t>
  </si>
  <si>
    <t>MHR-b Caliport back cover - Color RAL 7012</t>
  </si>
  <si>
    <t>SPEC-1136</t>
  </si>
  <si>
    <t>21SBTF06DPXGB [DS CHILLER FEMALE RECTUS FITTING, BLUE, Tube ID 6mm]</t>
  </si>
  <si>
    <t>SPEC-1366</t>
  </si>
  <si>
    <t>WSRF-0006 [FC_Temp_Sensor]</t>
  </si>
  <si>
    <t>SPEC-473</t>
  </si>
  <si>
    <t>PCB Lambda relay</t>
  </si>
  <si>
    <t>SPEC-599</t>
  </si>
  <si>
    <t>SUPER GLUE BRUSH ON, 5G</t>
  </si>
  <si>
    <t>SPEC-777</t>
  </si>
  <si>
    <t>Relay, DIN rail, 12VDC, 6A, SPDT</t>
  </si>
  <si>
    <t>SPEC-281</t>
  </si>
  <si>
    <t>PAT patient blinds</t>
  </si>
  <si>
    <t>SPEC-1133</t>
  </si>
  <si>
    <t>21KBTF06DPXGR [DS CHILLER FEMALE RECTUS FITTING, RED,  Tube ID 6mm]</t>
  </si>
  <si>
    <t>SPEC-303/USA</t>
  </si>
  <si>
    <t>IEC C19 Power Cord - USA</t>
  </si>
  <si>
    <t>SPEC-792</t>
  </si>
  <si>
    <t>3M Heat Shrink Tubing, 1.5/0.5mm BK , -55&lt;&gt;135°C (rollo de 12m)</t>
  </si>
  <si>
    <t>IFU-14</t>
  </si>
  <si>
    <t>Leaseir MHR Xcell User Manual (Portuguese)</t>
  </si>
  <si>
    <t>SPEC-892</t>
  </si>
  <si>
    <t>Transparent polymer SINTEX MS</t>
  </si>
  <si>
    <t>SPEC-1296</t>
  </si>
  <si>
    <t>PTS-1169 [FS Tip back]</t>
  </si>
  <si>
    <t>SPEC-1260</t>
  </si>
  <si>
    <t>913-1049 [Jack Connector 6.35 mm Panel Mount Stereo Socket, 3Pole 5A]</t>
  </si>
  <si>
    <t>SPEC-388</t>
  </si>
  <si>
    <t>CA LVDS</t>
  </si>
  <si>
    <t>SPEC-1137</t>
  </si>
  <si>
    <t>PTS-1222 [SRF Gen Plate]</t>
  </si>
  <si>
    <t>SPEC-30</t>
  </si>
  <si>
    <t>HP Hanger clip</t>
  </si>
  <si>
    <t>SPEC-1427</t>
  </si>
  <si>
    <t>TG-02BZ-24-025 [DC Micro Gear Pump]</t>
  </si>
  <si>
    <t>IFU-2_en</t>
  </si>
  <si>
    <t>Leaseir MHR Xcell User Manual</t>
  </si>
  <si>
    <t>SPEC-10</t>
  </si>
  <si>
    <t>MHR-b PS Enclosure</t>
  </si>
  <si>
    <t>SPEC-303</t>
  </si>
  <si>
    <t>IEC C19 Power Cord - Europa</t>
  </si>
  <si>
    <t>SPEC-855</t>
  </si>
  <si>
    <t>Expandable Braided Tin Plated Copper Cable Sleeve, 12.5mm Diameter, 10m Length</t>
  </si>
  <si>
    <t>SPEC-293</t>
  </si>
  <si>
    <t>Harting x2 40A male - 09 14 002 2601</t>
  </si>
  <si>
    <t>SPEC-111</t>
  </si>
  <si>
    <t>Pneumatic female contact 3mm - 09 14 000 6257</t>
  </si>
  <si>
    <t>SPEC-34</t>
  </si>
  <si>
    <t>MHR-b Umbilical support</t>
  </si>
  <si>
    <t>SPEC-1135</t>
  </si>
  <si>
    <t>21SBTF06DPXB [DS CHILLER MALE RECTUS FITTING, BLUE, Tube ID 6mm]</t>
  </si>
  <si>
    <t>SPEC-1134</t>
  </si>
  <si>
    <t>21SBTF06DPXR [DS CHILLER MALE RECTUS FITTING, RED, Tube ID 6mm]</t>
  </si>
  <si>
    <t>IFU-17</t>
  </si>
  <si>
    <t>Leaseir MHR Xcell Usage Protocol (English)</t>
  </si>
  <si>
    <t>SPEC-218</t>
  </si>
  <si>
    <t>Electronics Cover</t>
  </si>
  <si>
    <t>SPEC-647</t>
  </si>
  <si>
    <t>SRF Ventilador ref. NMB 05015SS-24R-00 (2672958 Farnell)</t>
  </si>
  <si>
    <t>SPEC-844</t>
  </si>
  <si>
    <t>IEC C19 Power Cord - Brasil</t>
  </si>
  <si>
    <t>SPEC-1073</t>
  </si>
  <si>
    <t>[DS DEEP SCREW-ON FLUSH HANDLE, BLACK]</t>
  </si>
  <si>
    <t>SPEC-1285</t>
  </si>
  <si>
    <t>PTS-2309 [SRF Gen Box Top]</t>
  </si>
  <si>
    <t>SPEC-108/DF</t>
  </si>
  <si>
    <t>PTS-0431 [Connector x4 Hinged Frame - Harting 09 14 016 0303] DEFECTUOSO</t>
  </si>
  <si>
    <t>SPEC-155</t>
  </si>
  <si>
    <t>PCBA MHR-b Caliport socket</t>
  </si>
  <si>
    <t>FMAT-3</t>
  </si>
  <si>
    <t>SEPIOLITA SACO DE 20 KGs</t>
  </si>
  <si>
    <t>SPEC-1052</t>
  </si>
  <si>
    <t>PTS-0248 [Umbilical HP FIT BS]</t>
  </si>
  <si>
    <t>SPEC-291</t>
  </si>
  <si>
    <t>Harting Hinged 4mod frame - 09 14 016 0313</t>
  </si>
  <si>
    <t>SPEC-900</t>
  </si>
  <si>
    <t>Desoldering Mesh 40-3-10, 2mm x 3m, for lead-free soldering</t>
  </si>
  <si>
    <t>SPEC-1356</t>
  </si>
  <si>
    <t>G2RV-1-S-AP-G DC11 [Plug In Signal Relay, 12V dc Coil, 50mA Switching Current, SPDT]</t>
  </si>
  <si>
    <t>SPEC-373</t>
  </si>
  <si>
    <t>CA KEYSWITCH</t>
  </si>
  <si>
    <t>SPEC-1072</t>
  </si>
  <si>
    <t>PTS-1198 [DS AC CHILLER TOP COVER]</t>
  </si>
  <si>
    <t>SPEC-292</t>
  </si>
  <si>
    <t>Harting 8 signal male - 09 14 008 2634</t>
  </si>
  <si>
    <t>SPEC-196</t>
  </si>
  <si>
    <t>Terminal strip - mk 6/6 ref. 7906260000</t>
  </si>
  <si>
    <t>SPEC-292/DF</t>
  </si>
  <si>
    <t>Harting 8 signal male - 09 14 008 2634 /DF</t>
  </si>
  <si>
    <t>SPEC-1074</t>
  </si>
  <si>
    <t>PTS-1283 [EBM DS CHILLER MOUNT]</t>
  </si>
  <si>
    <t>SPEC-951</t>
  </si>
  <si>
    <t>Suction syringe lubricant 200 cc</t>
  </si>
  <si>
    <t>SPEC-1033</t>
  </si>
  <si>
    <t>74272722 [Openable Ferrite Sleeve, 28 x 31 x 35.1mm]</t>
  </si>
  <si>
    <t>SPEC-1044</t>
  </si>
  <si>
    <t>[X2 Locking lever] 09000005222</t>
  </si>
  <si>
    <t>SPEC-29</t>
  </si>
  <si>
    <t>Cap 4 tubes</t>
  </si>
  <si>
    <t>SPEC-1040</t>
  </si>
  <si>
    <t>3107 04 00 [Fitting EQUAL CROSS 4mm]</t>
  </si>
  <si>
    <t>SPEC-1057</t>
  </si>
  <si>
    <t>MHR-a PCB Lambda Relay</t>
  </si>
  <si>
    <t>SPEC-40</t>
  </si>
  <si>
    <t>Painted MHR-b Hanger port mount</t>
  </si>
  <si>
    <t>SPEC-946</t>
  </si>
  <si>
    <t>Special plastic adhesive</t>
  </si>
  <si>
    <t>SPEC-1300</t>
  </si>
  <si>
    <t>PTS-2252 [SRF BS Spring holder]</t>
  </si>
  <si>
    <t>SPEC-474/AMZ</t>
  </si>
  <si>
    <t>PCB 12V Thermostat Amazon</t>
  </si>
  <si>
    <t>SPEC-164</t>
  </si>
  <si>
    <t>80mm DC fan</t>
  </si>
  <si>
    <t>SPEC-1075</t>
  </si>
  <si>
    <t>PTS-1202 [DS AC CHILLER X BASE SPACER SQUARED]</t>
  </si>
  <si>
    <t>SPEC-1369</t>
  </si>
  <si>
    <t>WSRF-0009 [RF_Data]</t>
  </si>
  <si>
    <t>UM-4</t>
  </si>
  <si>
    <t>Leaseir MHR Laser System 110 and 230 User Manual (Spanish)</t>
  </si>
  <si>
    <t>UM-6</t>
  </si>
  <si>
    <t>Leaseir MHR Laser System Hair Removal Protocol (Spanish)</t>
  </si>
  <si>
    <t>SPEC-1317</t>
  </si>
  <si>
    <t>680S3W3103L401 [3 Way Panel Mount D-sub Connector Plug, 6.85mm Pitch]</t>
  </si>
  <si>
    <t>SPEC-1387</t>
  </si>
  <si>
    <t>186-3012 [USB 2.0 Cable, length 1.8m]</t>
  </si>
  <si>
    <t>SPEC-794</t>
  </si>
  <si>
    <t>Painted Hanger Port Spacer</t>
  </si>
  <si>
    <t>SPEC-293/DF</t>
  </si>
  <si>
    <t>SPEC-1091</t>
  </si>
  <si>
    <t>PTS-0182 [DS TOP TRAY]</t>
  </si>
  <si>
    <t>SPEC-907</t>
  </si>
  <si>
    <t>PCB Buzzer Board Leaseir MHR Xcell</t>
  </si>
  <si>
    <t>SPEC-1235</t>
  </si>
  <si>
    <t>BLACK PALLET WRAPPING FILM ROLL</t>
  </si>
  <si>
    <t>IFU-3_en</t>
  </si>
  <si>
    <t>Leaseir MHR Xcell Cosmetic User Manual (English)</t>
  </si>
  <si>
    <t>SPEC-1371</t>
  </si>
  <si>
    <t>WSRF-0011 [Generator_Data]</t>
  </si>
  <si>
    <t>SPEC-1391</t>
  </si>
  <si>
    <t>082-97-RFX [RF/COAXIAL, N JACK, STRAIGHT, 50 OHM, SOLDER]</t>
  </si>
  <si>
    <t>SPEC-193</t>
  </si>
  <si>
    <t>Replacement cover for TUK- SACKS3PM</t>
  </si>
  <si>
    <t>SPEC-1415</t>
  </si>
  <si>
    <t>Caliport Go Ring</t>
  </si>
  <si>
    <t>SPEC-607</t>
  </si>
  <si>
    <t>Fitting 90º M3_D3 - 3218 03 09</t>
  </si>
  <si>
    <t>IFU-13</t>
  </si>
  <si>
    <t>Leaseir MHR Xcell Cosmetic User Manual (Italian)</t>
  </si>
  <si>
    <t>SPEC-374</t>
  </si>
  <si>
    <t>CA EMBEDDED 12VDC + UART</t>
  </si>
  <si>
    <t>UM-10</t>
  </si>
  <si>
    <t>Leaseir MHR Laser System 110 and 230 User Manual (Italian)</t>
  </si>
  <si>
    <t>UM-12</t>
  </si>
  <si>
    <t>Leaseir MHR Laser System Hair Removal Protocol (Italian)</t>
  </si>
  <si>
    <t>SPEC-1340</t>
  </si>
  <si>
    <t>ASM-2259 [PCB pogopin FS]</t>
  </si>
  <si>
    <t>SPEC-1364</t>
  </si>
  <si>
    <t>WSRF-0004 [HMI_serial]</t>
  </si>
  <si>
    <t>SPEC-423</t>
  </si>
  <si>
    <t>Pneumatic male fitting Ø4 - Harting 09 14 000 6153</t>
  </si>
  <si>
    <t>SPEC-1362</t>
  </si>
  <si>
    <t>WSRF-0002 [Power_Supply]</t>
  </si>
  <si>
    <t>SPEC-1456</t>
  </si>
  <si>
    <t>SRF Reeled wire</t>
  </si>
  <si>
    <t>SPEC-682</t>
  </si>
  <si>
    <t>Conector RJ45 Cat5e hembra Amphenol Industrial serie LTW, de 8/8 vías (RS 7980701)</t>
  </si>
  <si>
    <t>SPEC-387</t>
  </si>
  <si>
    <t>CA EXTENSION (VALVES,SENSOR NTC)</t>
  </si>
  <si>
    <t>IFU-16</t>
  </si>
  <si>
    <t>Leaseir MHR Xcell Cosmetic Usage Protocol (English)</t>
  </si>
  <si>
    <t>SPEC-1258</t>
  </si>
  <si>
    <t>PTS-1185 [SRF Gen Base]</t>
  </si>
  <si>
    <t>OTH-2</t>
  </si>
  <si>
    <t>Microchip PIC18F8722-I/PT TQFP80</t>
  </si>
  <si>
    <t>SPEC-1015</t>
  </si>
  <si>
    <t>AHR 220V Mains power cord 19.08.1018-50</t>
  </si>
  <si>
    <t>SPEC-1026</t>
  </si>
  <si>
    <t>231-310/026-000 [FEMALE TERM BLOCK PLUG 10POS 5.08MM]</t>
  </si>
  <si>
    <t>IFU-20</t>
  </si>
  <si>
    <t>Leaseir MHR Xcell Cosmetic Usage Protocol (Italian)</t>
  </si>
  <si>
    <t>SPEC-1295</t>
  </si>
  <si>
    <t>PTS-0263 [SRF umbilical ferrule]</t>
  </si>
  <si>
    <t>SPEC-847</t>
  </si>
  <si>
    <t>MHR Side foam</t>
  </si>
  <si>
    <t>SPEC-1164</t>
  </si>
  <si>
    <t>MHR HAIR REMOVAL PROTOCOL (SPANISH)</t>
  </si>
  <si>
    <t>SPEC-1209</t>
  </si>
  <si>
    <t>PTS-0542 [MHR DS FOAM TOP]</t>
  </si>
  <si>
    <t>SPEC-1210</t>
  </si>
  <si>
    <t>PTS-0544 [MHR DS FOAM WEDGE]</t>
  </si>
  <si>
    <t>SPEC-1207</t>
  </si>
  <si>
    <t>PTS-0541 [MHR DS FOAM BASE BLIND]</t>
  </si>
  <si>
    <t>SPEC-1208</t>
  </si>
  <si>
    <t>PTS-0543 [MHR DS FOAM BASE CUT]</t>
  </si>
  <si>
    <t>SPEC-1104</t>
  </si>
  <si>
    <t>HSR-3000 18/6 [3M Heat Shrink Tubing, 18/6mm BK , -55&lt;&gt;135°C]</t>
  </si>
  <si>
    <t>SPEC-1178</t>
  </si>
  <si>
    <t>TT0048.NG.C [Heat Shrink Tube, OD: 4.8mm, Color:Black]</t>
  </si>
  <si>
    <t>SPEC-181</t>
  </si>
  <si>
    <t>Fitting EQUAL CROSS 6mm - 3107 06 00</t>
  </si>
  <si>
    <t>IFU-27</t>
  </si>
  <si>
    <t>Leaseir MHR Xcell Cosmetic Usage Protocol (French)</t>
  </si>
  <si>
    <t>IFU-8</t>
  </si>
  <si>
    <t>Leaseir MHR Xcell Cosmetic User Manual (French)</t>
  </si>
  <si>
    <t>SPEC-1403</t>
  </si>
  <si>
    <t>PTS-2366 [HP Post seal L] SRF</t>
  </si>
  <si>
    <t>SPEC-1053</t>
  </si>
  <si>
    <t>PTS-0247 [SRF HP FC Coupling]</t>
  </si>
  <si>
    <t>UM-24</t>
  </si>
  <si>
    <t>Leaseir MHR Laser System Hair Removal Protocol (French)</t>
  </si>
  <si>
    <t>UM-22</t>
  </si>
  <si>
    <t>Leaseir MHR Laser System 110 and 230 User Manual (French)</t>
  </si>
  <si>
    <t>SPEC-1284</t>
  </si>
  <si>
    <t>PTS-2249 [SRF Gen Mount]</t>
  </si>
  <si>
    <t>IFU-6</t>
  </si>
  <si>
    <t>Leaseir MHR Xcell Cosmetic Manual de Usuario (Spanish)</t>
  </si>
  <si>
    <t>IFU-21</t>
  </si>
  <si>
    <t>Leaseir MHR Xcell Protocolo de Uso (Portuguese)</t>
  </si>
  <si>
    <t>SPEC-1324</t>
  </si>
  <si>
    <t>970-015-030R121 [Zinc D Sub Backshell, 15 Way]</t>
  </si>
  <si>
    <t>KIT-2</t>
  </si>
  <si>
    <t>KIT EMBOLSADO PARA EMPAQUETADO DE EQUIPOS XCELL/XCELL COSMETIC 110V</t>
  </si>
  <si>
    <t>IFU-4_es</t>
  </si>
  <si>
    <t>Leaseir MHR Xcell Cosmetic Usage Protocol (Spanish)</t>
  </si>
  <si>
    <t>SPEC-1404</t>
  </si>
  <si>
    <t>PTS-2368 [HP Post seal R] SRF</t>
  </si>
  <si>
    <t>SPEC-1249</t>
  </si>
  <si>
    <t>AHR guía de inicio</t>
  </si>
  <si>
    <t>SPEC-999</t>
  </si>
  <si>
    <t>S286A-2 [AHR Keyswitch]</t>
  </si>
  <si>
    <t>SPEC-1092</t>
  </si>
  <si>
    <t>PTS-1277 [DS PS MOUNT]</t>
  </si>
  <si>
    <t>SPEC-1028</t>
  </si>
  <si>
    <t>VS-40HF20 [DIODE STANDARD 200V 40A DO203AB]</t>
  </si>
  <si>
    <t>SPEC-28</t>
  </si>
  <si>
    <t>Cap 1 tube</t>
  </si>
  <si>
    <t>SPEC-291/DF</t>
  </si>
  <si>
    <t>PTS-0566 [Harting Hinged 4mod frame - 09 14 016 0313] DEFECTUOSO</t>
  </si>
  <si>
    <t>SPEC-1045</t>
  </si>
  <si>
    <t>Front Cover Blind</t>
  </si>
  <si>
    <t>SPEC-33</t>
  </si>
  <si>
    <t>Hanger Port L</t>
  </si>
  <si>
    <t>SPEC-1287</t>
  </si>
  <si>
    <t>PTS-0242 [SRF Hanger Port R]</t>
  </si>
  <si>
    <t>SPEC-1252</t>
  </si>
  <si>
    <t>608-2RSL [ Single Row Deep Groove Ball Bearing- Both Sides Sealed 8mm I.D, 22mm O.D]</t>
  </si>
  <si>
    <t>SPEC-1051</t>
  </si>
  <si>
    <t>09 14 000 6252 [Pneumatic female contact 3mm]</t>
  </si>
  <si>
    <t>SPEC-1297</t>
  </si>
  <si>
    <t>PTS-2257 [SRF FS Spring holder]</t>
  </si>
  <si>
    <t>SPEC-1237</t>
  </si>
  <si>
    <t>09140006152 [Pneumatic contact male 3,0 mm]</t>
  </si>
  <si>
    <t>SPEC-9</t>
  </si>
  <si>
    <t>b Touchscreen support</t>
  </si>
  <si>
    <t>SPEC-1139</t>
  </si>
  <si>
    <t>MHR BLENDED HAIR REMOVAL PROTOCOL</t>
  </si>
  <si>
    <t>SPEC-4</t>
  </si>
  <si>
    <t>Crate Mount</t>
  </si>
  <si>
    <t>SPEC-641</t>
  </si>
  <si>
    <t>SRF Filter Mount</t>
  </si>
  <si>
    <t>SPEC-366</t>
  </si>
  <si>
    <t>b HP trigger in mount</t>
  </si>
  <si>
    <t>SPEC-1017</t>
  </si>
  <si>
    <t>switch foot - pedal redondo, wire 1,5mts</t>
  </si>
  <si>
    <t>SPEC-441</t>
  </si>
  <si>
    <t>Fitting M5 4mm 90 - 3169 04 19</t>
  </si>
  <si>
    <t>SPEC-1250</t>
  </si>
  <si>
    <t>QUICK GUIDE AHR</t>
  </si>
  <si>
    <t>SPEC-1409</t>
  </si>
  <si>
    <t>Leaseir AHR Hair Removal</t>
  </si>
  <si>
    <t>SPEC-1314</t>
  </si>
  <si>
    <t>PTS-1086 [SRF Hanger Pocket Blind]</t>
  </si>
  <si>
    <t>KIT-1</t>
  </si>
  <si>
    <t>KIT EMBOLSADO PARA EMPAQUETADO DE EQUIPOS XCELL/XCELL COSMETIC 220V</t>
  </si>
  <si>
    <t>SPEC-1372</t>
  </si>
  <si>
    <t>WSRF-0012 [Generator_Coaxial]</t>
  </si>
  <si>
    <t>SPEC-27</t>
  </si>
  <si>
    <t>Cover, Silentblocks (Color RAL 7012)</t>
  </si>
  <si>
    <t>SPEC-452</t>
  </si>
  <si>
    <t>Multicomp S286B-1 Keyswitch</t>
  </si>
  <si>
    <t>SPEC-26</t>
  </si>
  <si>
    <t>Hanger port Spacer</t>
  </si>
  <si>
    <t>SPEC-947</t>
  </si>
  <si>
    <t>UN1219 Isopropyl alcohol</t>
  </si>
  <si>
    <t>SPEC-1420</t>
  </si>
  <si>
    <t>PTS-1126 [SRF HP Cardboard box]</t>
  </si>
  <si>
    <t>SPEC-593</t>
  </si>
  <si>
    <t>Touchscreen gasket</t>
  </si>
  <si>
    <t>SPEC-1009</t>
  </si>
  <si>
    <t>PES-D18NO30D-P [Bahía M18 photo sensor]</t>
  </si>
  <si>
    <t>SPEC-715</t>
  </si>
  <si>
    <t>RJ 45 Panel Mount Connector , female-female, Cat6</t>
  </si>
  <si>
    <t>SPEC-827</t>
  </si>
  <si>
    <t>MetalWork Automatic Fitting R15 Ø3 coupling M3</t>
  </si>
  <si>
    <t>SPEC-1450</t>
  </si>
  <si>
    <t>74271222 [Split Ferrite Core, 12.5 mm, 265 ohms]</t>
  </si>
  <si>
    <t>SPEC-140</t>
  </si>
  <si>
    <t>Fitting Bulkhead 8-8 - 3116 08 00</t>
  </si>
  <si>
    <t>SPEC-392</t>
  </si>
  <si>
    <t>CA VALVES AND PUMP CONTROL RELAY</t>
  </si>
  <si>
    <t>SPEC-454</t>
  </si>
  <si>
    <t>Door Interlock NP2RX-BAG</t>
  </si>
  <si>
    <t>SPEC-298</t>
  </si>
  <si>
    <t>PVC hose L=1850mm</t>
  </si>
  <si>
    <t>SPEC-1479</t>
  </si>
  <si>
    <t>Gatillo completo MHR</t>
  </si>
  <si>
    <t>SPEC-1031</t>
  </si>
  <si>
    <t>74271132 [Openable Ferrite Sleeve, 36.3 x 24.2 x 19.7mm]</t>
  </si>
  <si>
    <t>UM-2</t>
  </si>
  <si>
    <t>Leaseir MHR Laser System Hair Removal Protocol (English)</t>
  </si>
  <si>
    <t>SPEC-1406</t>
  </si>
  <si>
    <t>AHR Hair Removal guide (guía AHR La Depilación)</t>
  </si>
  <si>
    <t>SPEC-1170</t>
  </si>
  <si>
    <t>MHR QUICK START GUIDE WITH PEDAL (SPANISH)</t>
  </si>
  <si>
    <t>SPEC-1182</t>
  </si>
  <si>
    <t>MHR QUICK START GUIDE WITH PEDAL (ENGLISH)</t>
  </si>
  <si>
    <t>SPEC-1007</t>
  </si>
  <si>
    <t>REJILLA DE RESPIRACIÓN AHR 300x350x10mm</t>
  </si>
  <si>
    <t>SPEC-1273</t>
  </si>
  <si>
    <t>3102 06 08 [Pneumatic fitting, Snap-fit, 6-8 mm]</t>
  </si>
  <si>
    <t>SPEC-3</t>
  </si>
  <si>
    <t>LNR Capacitor Enclosure</t>
  </si>
  <si>
    <t>SPEC-899</t>
  </si>
  <si>
    <t>Desoldering Mesh 80-4-5, 2.8mm x 1.5m</t>
  </si>
  <si>
    <t>SPEC-1259</t>
  </si>
  <si>
    <t>PTS-2242 [SRF Air pump base]</t>
  </si>
  <si>
    <t>SPEC-440</t>
  </si>
  <si>
    <t>Fitting M5 4mm T - 3198 04 19</t>
  </si>
  <si>
    <t>SPEC-1032</t>
  </si>
  <si>
    <t>7427151 [Openable Ferrite Sleeve with key, 40 x 20 x 30mm]</t>
  </si>
  <si>
    <t>SPEC-94</t>
  </si>
  <si>
    <t>Coolant filter - RTF2004</t>
  </si>
  <si>
    <t>SPEC-828</t>
  </si>
  <si>
    <t>UN1299 Novodec Acetone</t>
  </si>
  <si>
    <t>SPEC-1241</t>
  </si>
  <si>
    <t>406190124000 [PCB Mount Power Relay, 12V dc Coil, 16A Switching Current, SPDT]</t>
  </si>
  <si>
    <t>SPEC-1305</t>
  </si>
  <si>
    <t>BAHÍA AHR COMPLETA (Caliport AHR complete assembly)</t>
  </si>
  <si>
    <t>SPEC-188</t>
  </si>
  <si>
    <t>Fitting Y tube 6mm - 3140 06 00</t>
  </si>
  <si>
    <t>SPEC-359</t>
  </si>
  <si>
    <t>Melexis MLX 90615</t>
  </si>
  <si>
    <t>SPEC-1103</t>
  </si>
  <si>
    <t>HSR-3000 9/3 [3M Heat Shrink Tubing, 9/3mm BK , -55&lt;&gt;135°C]</t>
  </si>
  <si>
    <t>SPEC-254</t>
  </si>
  <si>
    <t>Fitting Bulkhead 6-6 - 3116 06 00</t>
  </si>
  <si>
    <t>SPEC-1264</t>
  </si>
  <si>
    <t>PFX530 [Fixed rubber foot, diameter 19 mm, screws M5 x 30 mm]</t>
  </si>
  <si>
    <t>SPEC-333</t>
  </si>
  <si>
    <t>Straight Threaded Fitting M5_D4 - 3114 04 19</t>
  </si>
  <si>
    <t>SPEC-228</t>
  </si>
  <si>
    <t>MHR-b caliport filter</t>
  </si>
  <si>
    <t>SPEC-1360</t>
  </si>
  <si>
    <t>SRF PROTOCOL (ITALIAN)</t>
  </si>
  <si>
    <t>SPEC-1041</t>
  </si>
  <si>
    <t>3140 04 00 [Fitting Y tube 4mm]</t>
  </si>
  <si>
    <t>SPEC-358</t>
  </si>
  <si>
    <t>Diode IR Sensor Mount 10BS</t>
  </si>
  <si>
    <t>SPEC-803</t>
  </si>
  <si>
    <t>Legris 3106_03_04, Union 4-3mm tube</t>
  </si>
  <si>
    <t>SPEC-1485</t>
  </si>
  <si>
    <t>AHR 110V Mains power cord</t>
  </si>
  <si>
    <t>SPEC-848</t>
  </si>
  <si>
    <t>MHR L/R U-foam</t>
  </si>
  <si>
    <t>SPEC-416</t>
  </si>
  <si>
    <t>O ring (cordón tórico de silicona, tubos de 5m) (meter a stock por mts)</t>
  </si>
  <si>
    <t>SPEC-245/DF</t>
  </si>
  <si>
    <t>PTS-0071.003 [Caliport Support] DEFECTUOSO</t>
  </si>
  <si>
    <t>SPEC-245</t>
  </si>
  <si>
    <t>Caliport Support</t>
  </si>
  <si>
    <t>SPEC-133</t>
  </si>
  <si>
    <t>Motedis 28x515mm M8</t>
  </si>
  <si>
    <t>SPEC-153</t>
  </si>
  <si>
    <t>PCBA MHR-b HP trigger</t>
  </si>
  <si>
    <t>SPEC-290</t>
  </si>
  <si>
    <t>Harting lever - 09 00 0005221</t>
  </si>
  <si>
    <t>SPEC-221</t>
  </si>
  <si>
    <t>Console label cover</t>
  </si>
  <si>
    <t>SPEC-1019</t>
  </si>
  <si>
    <t>831-3202 [AHR MALE TERM BLOCK PLUG 2POS 7.62MM]</t>
  </si>
  <si>
    <t>SPEC-1247</t>
  </si>
  <si>
    <t>HSR-3000 24/8 [3M Heat Shrink Tubing, 24/8mm BK , -55&lt;&gt;135°C]</t>
  </si>
  <si>
    <t>SPEC-1112</t>
  </si>
  <si>
    <t>RT314012 [Relay, Power PCB Relay RT1 Series, Power, Non Latching, SPDT]</t>
  </si>
  <si>
    <t>SPEC-1461</t>
  </si>
  <si>
    <t>PTS-2244.001 [SRF Valves base]</t>
  </si>
  <si>
    <t>SPEC-184</t>
  </si>
  <si>
    <t>Fitting Union 6-8 mm - 3106 06 08</t>
  </si>
  <si>
    <t>SPEC-119</t>
  </si>
  <si>
    <t>Fitting straight M5 to 6mm - 3181 04 19</t>
  </si>
  <si>
    <t>SPEC-1018</t>
  </si>
  <si>
    <t>831-3102 [AHR FEMALE TERM BLOCK PLUG 2POS 7.62MM]</t>
  </si>
  <si>
    <t>SPEC-1038</t>
  </si>
  <si>
    <t>31160400 [Union 4-4mm]</t>
  </si>
  <si>
    <t>SPEC-386</t>
  </si>
  <si>
    <t>CA TOUCH CONTROLLER</t>
  </si>
  <si>
    <t>SPEC-1067</t>
  </si>
  <si>
    <t>3106 04 08 [Fitting Union 4-8 mm]</t>
  </si>
  <si>
    <t>SPEC-1167</t>
  </si>
  <si>
    <t>TT0127.NG.C [Heat Shrink Tube, OD: 12.7mm, Color:Black]</t>
  </si>
  <si>
    <t>SPEC-566</t>
  </si>
  <si>
    <t>Interlock protector</t>
  </si>
  <si>
    <t>SPEC-381</t>
  </si>
  <si>
    <t>CA CAPACITOR CHARGE</t>
  </si>
  <si>
    <t>SPEC-223</t>
  </si>
  <si>
    <t>Fuse Plate 110</t>
  </si>
  <si>
    <t>SPEC-1294</t>
  </si>
  <si>
    <t>PTS-1703 [SRF Fuse plate]</t>
  </si>
  <si>
    <t>SPEC-894</t>
  </si>
  <si>
    <t>Alcohol for burning/Methanol - 1L</t>
  </si>
  <si>
    <t>SPEC-1218</t>
  </si>
  <si>
    <t>3180 08 00 [Y Tube-to-Tube Adaptor, Push In 8 mm]</t>
  </si>
  <si>
    <t>SPEC-544</t>
  </si>
  <si>
    <t>CA TOUCH DC IN</t>
  </si>
  <si>
    <t>SPEC-1080</t>
  </si>
  <si>
    <t>303-91-166 [Steel Finger Guard for 172mm Fan]</t>
  </si>
  <si>
    <t>SPEC-1257</t>
  </si>
  <si>
    <t>C01200180620M [SRF FS Pogopin Spring, OD:3.05mm, 15.75mm free length]</t>
  </si>
  <si>
    <t>SPEC-361</t>
  </si>
  <si>
    <t>Molex 15131-0401, Pico-Lock-to-Pico-Lock Off-the -Shelf Cable Assembly,Female-Female, Single Row, 100mm Long, 4 circuits</t>
  </si>
  <si>
    <t>SPEC-1042</t>
  </si>
  <si>
    <t>3199 08 13 [Fitting 90º G 1/4''-8mm]</t>
  </si>
  <si>
    <t>SPEC-1458</t>
  </si>
  <si>
    <t>Frontal Blue Vinyl Sticker</t>
  </si>
  <si>
    <t>SPEC-1453</t>
  </si>
  <si>
    <t>BLP05H6350XRG [LDMOS power transistor, 350W]</t>
  </si>
  <si>
    <t>SPEC-327</t>
  </si>
  <si>
    <t>Legris - 3106 04 06 - Union 6-4mm</t>
  </si>
  <si>
    <t>SPEC-347</t>
  </si>
  <si>
    <t>CA 48VDC PS OUTPUT</t>
  </si>
  <si>
    <t>SPEC-1086</t>
  </si>
  <si>
    <t>PTS-1032 [DS FRONT COVER MOUNT R]</t>
  </si>
  <si>
    <t>SPEC-1087</t>
  </si>
  <si>
    <t>PTS-1037 [DS FRONT COVER MOUNT L]</t>
  </si>
  <si>
    <t>SPEC-180</t>
  </si>
  <si>
    <t>Fitting Elbow 1/8 to 8mm - 3199 08 10</t>
  </si>
  <si>
    <t>SPEC-648</t>
  </si>
  <si>
    <t>Legris 90 deg 1/4_6mm 31990613</t>
  </si>
  <si>
    <t>SPEC-356</t>
  </si>
  <si>
    <t>Diode IR Sensor Mount 20BS</t>
  </si>
  <si>
    <t>SPEC-384</t>
  </si>
  <si>
    <t>CA PHOTODIODES</t>
  </si>
  <si>
    <t>SPEC-222</t>
  </si>
  <si>
    <t>Fuse plate 230</t>
  </si>
  <si>
    <t>SPEC-595</t>
  </si>
  <si>
    <t>Fuse plate 110-130</t>
  </si>
  <si>
    <t>SPEC-786</t>
  </si>
  <si>
    <t>Heat Shrink Tube Ø1.6mm, -75ºC ~ +150ºC, Color:Black]</t>
  </si>
  <si>
    <t>SPEC-1256</t>
  </si>
  <si>
    <t>C01200200880M [SRF BS Pogopin Spring, OD:3.05mm, 22.35mm free length]</t>
  </si>
  <si>
    <t>SPEC-379</t>
  </si>
  <si>
    <t>CA 12-24VDC INPUT MAINBOARD</t>
  </si>
  <si>
    <t>SPEC-1030</t>
  </si>
  <si>
    <t>74270090 [Ferrite Ring Axial Ferrite Bead]</t>
  </si>
  <si>
    <t>SPEC-441/METALWORK</t>
  </si>
  <si>
    <t>Racor acodado 2L31001 Metalwork</t>
  </si>
  <si>
    <t>SPEC-798/DF</t>
  </si>
  <si>
    <t>PTS-2143.001 [Cap 4 tubes-b] DEFECTUOSO</t>
  </si>
  <si>
    <t>SPEC-1451</t>
  </si>
  <si>
    <t>SRF DIN Rail</t>
  </si>
  <si>
    <t>SPEC-1357</t>
  </si>
  <si>
    <t>3199 06 19 [Fitting Elbow M5 to 6mm]</t>
  </si>
  <si>
    <t>SPEC-139</t>
  </si>
  <si>
    <t>Suction Al tube</t>
  </si>
  <si>
    <t>SPEC-898</t>
  </si>
  <si>
    <t>MINI STRETCH FILM 23 MICRON 100MM X 125M</t>
  </si>
  <si>
    <t>SPEC-182</t>
  </si>
  <si>
    <t>Fitting Union 8-6mm - 3182 08 00</t>
  </si>
  <si>
    <t>SPEC-179</t>
  </si>
  <si>
    <t>Fitting 90 degree 6mm to 1/8 - 3199 06 10</t>
  </si>
  <si>
    <t>SPEC-425</t>
  </si>
  <si>
    <t>Capillary</t>
  </si>
  <si>
    <t>SPEC-389</t>
  </si>
  <si>
    <t>CA AC COOLING UNIT (FILTER INPUT, COMPRESSOR)</t>
  </si>
  <si>
    <t>SPEC-796/DF</t>
  </si>
  <si>
    <t>PTS-2142.001 [Cap 1 tube-b] DEFECTUOSO</t>
  </si>
  <si>
    <t>SPEC-455</t>
  </si>
  <si>
    <t>Pneumatic x3 Body - Harting 09 14 003 4501</t>
  </si>
  <si>
    <t>SPEC-210</t>
  </si>
  <si>
    <t>Leaseir Logo Front Sticker</t>
  </si>
  <si>
    <t>SPEC-289</t>
  </si>
  <si>
    <t>HP sticker cover</t>
  </si>
  <si>
    <t>SPEC-1365</t>
  </si>
  <si>
    <t>WSRF-0005 [Touch _Data]</t>
  </si>
  <si>
    <t>SPEC-1253</t>
  </si>
  <si>
    <t>1712591 [M4 Anti Vibration Mount, Male to Female Bobbin, 5.5kg Compression Load]</t>
  </si>
  <si>
    <t>SPEC-420</t>
  </si>
  <si>
    <t>Connector M5 ferrule</t>
  </si>
  <si>
    <t>SPEC-1084</t>
  </si>
  <si>
    <t>300-13-153 [DPST, On-Off Rocker Switch Panel Mount]</t>
  </si>
  <si>
    <t>SPEC-817</t>
  </si>
  <si>
    <t>3M Heat Shrink Tubing, 3/1mm BK , -55&lt;&gt;135°C (rollo de 10m)</t>
  </si>
  <si>
    <t>SPEC-247</t>
  </si>
  <si>
    <t>Power-supply Mount</t>
  </si>
  <si>
    <t>SPEC-187</t>
  </si>
  <si>
    <t>Push in fitting RL31 Ø 6 1/8 - 2L31008</t>
  </si>
  <si>
    <t>SPEC-367</t>
  </si>
  <si>
    <t>HP Seal 810</t>
  </si>
  <si>
    <t>SPEC-718</t>
  </si>
  <si>
    <t>HP Seal Blend</t>
  </si>
  <si>
    <t>SPEC-845</t>
  </si>
  <si>
    <t>MHR Back foam</t>
  </si>
  <si>
    <t>SPEC-798</t>
  </si>
  <si>
    <t>Cap 4 tubes-b</t>
  </si>
  <si>
    <t>SPEC-896</t>
  </si>
  <si>
    <t>ADHESIVE TAPE 48mmx45m</t>
  </si>
  <si>
    <t>SPEC-325</t>
  </si>
  <si>
    <t>Warranty Seal</t>
  </si>
  <si>
    <t>SPEC-788</t>
  </si>
  <si>
    <t>USB 2.0 Cable</t>
  </si>
  <si>
    <t>SPEC-819</t>
  </si>
  <si>
    <t>3M Heat Shrink Tubing, 6/2mm BK , -55&lt;&gt;135°C (precio por metro)</t>
  </si>
  <si>
    <t>SPEC-439</t>
  </si>
  <si>
    <t>Mains IEC C20 Socket</t>
  </si>
  <si>
    <t>SPEC-998</t>
  </si>
  <si>
    <t>231633 [MALE TERM BLOCK PLUG 3POS 5.08MM]</t>
  </si>
  <si>
    <t>SPEC-796</t>
  </si>
  <si>
    <t>Cap 1 tube-b</t>
  </si>
  <si>
    <t>SPEC-369</t>
  </si>
  <si>
    <t>Multimec 5GTH9XX</t>
  </si>
  <si>
    <t>SPEC-965</t>
  </si>
  <si>
    <t>094901 [Hydrating Conductor Spray, 250ml]</t>
  </si>
  <si>
    <t>SPEC-891</t>
  </si>
  <si>
    <t>Cap for 5x20mm fuse holder</t>
  </si>
  <si>
    <t>SPEC-422</t>
  </si>
  <si>
    <t>M3 nut cover</t>
  </si>
  <si>
    <t>SPEC-1089</t>
  </si>
  <si>
    <t>PTS-0232 [DS SCREEN MOUNT]</t>
  </si>
  <si>
    <t>SPEC-1156</t>
  </si>
  <si>
    <t>3D LEASEIR RESIN LOGO STICKER</t>
  </si>
  <si>
    <t>UM-1</t>
  </si>
  <si>
    <t>Leaseir MHR Laser System 110 and 230 User Manual (v6_en_Jun 12 2023_English)</t>
  </si>
  <si>
    <t>SPEC-1081</t>
  </si>
  <si>
    <t>PTS-0632 [DS SERIAL COVER]</t>
  </si>
  <si>
    <t>SPEC-565</t>
  </si>
  <si>
    <t>Frontal Cover gasket</t>
  </si>
  <si>
    <t>SPEC-1335</t>
  </si>
  <si>
    <t>1A-004-14 [Lt. Gray Vacuum Drain Tubing 7/16" PVC]</t>
  </si>
  <si>
    <t>SPEC-1171</t>
  </si>
  <si>
    <t>MHR QUICK START GUIDE WITHOUT PEDAL (SPANISH)</t>
  </si>
  <si>
    <t>SPEC-252</t>
  </si>
  <si>
    <t>Solenoid Valve - RSC-1</t>
  </si>
  <si>
    <t>SPEC-1363</t>
  </si>
  <si>
    <t>WSRF-0003 [HMI_Power]</t>
  </si>
  <si>
    <t>SPEC-1111</t>
  </si>
  <si>
    <t>74270091 [Ferrite Core, Cylindrical, 386 ohm, 12.7 mm Length, 9.5 mm ID, 17.5 mm OD]</t>
  </si>
  <si>
    <t>SPEC-1278</t>
  </si>
  <si>
    <t>176-2279 [pneumatic silencer, brass, 12 bar, threaded, male G 1/8]</t>
  </si>
  <si>
    <t>SPEC-106</t>
  </si>
  <si>
    <t>Silentblock - 107083</t>
  </si>
  <si>
    <t>SPEC-70</t>
  </si>
  <si>
    <t>CPU Heatsink</t>
  </si>
  <si>
    <t>SPEC-589</t>
  </si>
  <si>
    <t>M-F Hex Standoff Spacer, M5, 8mm Hex size, 10mm Long ,8 mm Thread size, Brass</t>
  </si>
  <si>
    <t>SPEC-377</t>
  </si>
  <si>
    <t>CA 12VDC CHARGER BOARD</t>
  </si>
  <si>
    <t>SPEC-382</t>
  </si>
  <si>
    <t>Quad insulator</t>
  </si>
  <si>
    <t>SPEC-1140</t>
  </si>
  <si>
    <t>MHR BLENDED HAIR REMOVAL BROCHURE (ENGLISH)</t>
  </si>
  <si>
    <t>SPEC-1144</t>
  </si>
  <si>
    <t>MHR HIGH POWER DIODE LASER BROCHURE (SPANISH)</t>
  </si>
  <si>
    <t>SPEC-1141</t>
  </si>
  <si>
    <t>DS HIGH POWER DIODE LASER BROCHURE (ENGLISH)</t>
  </si>
  <si>
    <t>SPEC-1160</t>
  </si>
  <si>
    <t>MHR HIGH POWER DIODE LASER BROCHURE (ENGLISH)</t>
  </si>
  <si>
    <t>SPEC-1180</t>
  </si>
  <si>
    <t>MHR HIGH POWER DIODE LASER BROCHURE (FRENCH)</t>
  </si>
  <si>
    <t>SPEC-1146</t>
  </si>
  <si>
    <t>MHR HIGH POWER DIODE LASER BROCHURE (ITALIAN)</t>
  </si>
  <si>
    <t>SPEC-775</t>
  </si>
  <si>
    <t>EPDM adhesive sheet 12x12x3mm</t>
  </si>
  <si>
    <t>SPEC-1142</t>
  </si>
  <si>
    <t>DS HIGH POWER DIODE LASER BROCHURE (PORTUGUESE)</t>
  </si>
  <si>
    <t>SPEC-1388</t>
  </si>
  <si>
    <t>39.077/200 [RJ-45 data transmission connection, 2m, CAT6, 28AWG]</t>
  </si>
  <si>
    <t>SPEC-1482</t>
  </si>
  <si>
    <t>BIOS CMOS (pila amarilla)</t>
  </si>
  <si>
    <t>SPEC-996</t>
  </si>
  <si>
    <t>RTF2016 [AHR coolant filter]</t>
  </si>
  <si>
    <t>SPEC-390</t>
  </si>
  <si>
    <t>CA AC COOLING UNIT (FILTER LOAD, RELAY INPUT)</t>
  </si>
  <si>
    <t>SPEC-1039</t>
  </si>
  <si>
    <t>2L31002 [Metalworks - 2L31002 - Push in fitting RL31 Ø 4 1/8]</t>
  </si>
  <si>
    <t>SPEC-901</t>
  </si>
  <si>
    <t>CLEAR DUCT TAPE 48mmx66m</t>
  </si>
  <si>
    <t>SPEC-905</t>
  </si>
  <si>
    <t>Mosfet source strip</t>
  </si>
  <si>
    <t>SPEC-152</t>
  </si>
  <si>
    <t>PCBA Modular Ir Sensor</t>
  </si>
  <si>
    <t>SPEC-1377</t>
  </si>
  <si>
    <t>WSRF-0017 [Vacuum_Pump]</t>
  </si>
  <si>
    <t>SPEC-1378</t>
  </si>
  <si>
    <t>WSRF-0018 [Hydraulic_Pump]</t>
  </si>
  <si>
    <t>SPEC-906</t>
  </si>
  <si>
    <t>Cap Charger Ground Strip</t>
  </si>
  <si>
    <t>SPEC-1240</t>
  </si>
  <si>
    <t>31060400 [Fitting union 4-4mm]</t>
  </si>
  <si>
    <t>SPEC-997</t>
  </si>
  <si>
    <t>231303 [FEMALE TERM BLOCK PLUG 3POS 5.08MM]</t>
  </si>
  <si>
    <t>SPEC-438/DF</t>
  </si>
  <si>
    <t>ASM-0408 [Fuse socket 5x20mm - Littelfuse Inc.- 82000000005] DEFECTUOSO</t>
  </si>
  <si>
    <t>SPEC-1143</t>
  </si>
  <si>
    <t>DS HIGH POWER DIODE LASER BROCHURE (SPANISH)</t>
  </si>
  <si>
    <t>SPEC-1145</t>
  </si>
  <si>
    <t>SPEC-1179</t>
  </si>
  <si>
    <t>MHR HIGH POWER DIODE LASER BROCHURE (PORTUGUESE)</t>
  </si>
  <si>
    <t>SPEC-1181</t>
  </si>
  <si>
    <t>MHR BLEND HIGH POWER DIODE LASER BROCHURE (SPANISH)</t>
  </si>
  <si>
    <t>SPEC-438</t>
  </si>
  <si>
    <t>Fuse socket 5x20mm - Littelfuse Inc.- 82000000005</t>
  </si>
  <si>
    <t>SPEC-1355</t>
  </si>
  <si>
    <t>746600330R [PCB Terminal, BUSH, SMD Open, Brass, 4.5 mm, Tin, REDCUBE WP-THRBU]</t>
  </si>
  <si>
    <t>SPEC-1183</t>
  </si>
  <si>
    <t>SRF BROCHURE - FOLLETO SRF PLATAFORMA INTEGRAL CELULITE E REMODELAÇAO (PORTUGUÉS)</t>
  </si>
  <si>
    <t>SPEC-1298</t>
  </si>
  <si>
    <t>PTS-1167 [FS applied cylinder]</t>
  </si>
  <si>
    <t>SPEC-1288</t>
  </si>
  <si>
    <t>PTS-2329 [SRF Support Adapter_logo]</t>
  </si>
  <si>
    <t>SPEC-375</t>
  </si>
  <si>
    <t>CA CHILLER ENABLE</t>
  </si>
  <si>
    <t>SPEC-380</t>
  </si>
  <si>
    <t>CA PS INPUT</t>
  </si>
  <si>
    <t>SPEC-995</t>
  </si>
  <si>
    <t>2022864 [CABLE GLAND V-TEC M16X1,5 GRCL]</t>
  </si>
  <si>
    <t>SPEC-653</t>
  </si>
  <si>
    <t>Legris 3181_06_19 Fitting Round Body M5-6mm</t>
  </si>
  <si>
    <t>SPEC-318</t>
  </si>
  <si>
    <t>CA MODULAR IR SENSOR</t>
  </si>
  <si>
    <t>SPEC-525</t>
  </si>
  <si>
    <t>Anti-tip label - TIP-N-TELL</t>
  </si>
  <si>
    <t>SPEC-229</t>
  </si>
  <si>
    <t>MHR-b Caliport diffuser</t>
  </si>
  <si>
    <t>SPEC-376</t>
  </si>
  <si>
    <t>CA MOSFET SOURCE</t>
  </si>
  <si>
    <t>SPEC-1308</t>
  </si>
  <si>
    <t>PTS-0261 [SRF Con Label Cover]</t>
  </si>
  <si>
    <t>SPEC-1457</t>
  </si>
  <si>
    <t>Leaseir SRF Brochure (Spanish)</t>
  </si>
  <si>
    <t>SPEC-1411</t>
  </si>
  <si>
    <t>Leaseir SRF BROCHURE (English)</t>
  </si>
  <si>
    <t>SPEC-1251</t>
  </si>
  <si>
    <t>QT-8 [ Grey Elastomer 888mm Cable Grommet] (Pasamuros Icotek)</t>
  </si>
  <si>
    <t>SPEC-1061</t>
  </si>
  <si>
    <t>S4BBB [Audio Connector, 3 Contacts, Jack, 6.35mm, PCB Mount, Nickel Plated Contacts]</t>
  </si>
  <si>
    <t>SPEC-1484</t>
  </si>
  <si>
    <t>95.15.2SMA ZÓCALO Y CLIP [RELAY SOCKET, 8PIN, 10A, 250V, TH, BLUE]</t>
  </si>
  <si>
    <t>SPEC-881</t>
  </si>
  <si>
    <t>Push-in fitting Ø4mm x M5, Straight, Cylindrical, Male</t>
  </si>
  <si>
    <t>SPEC-1320</t>
  </si>
  <si>
    <t>1100U08R08 [Legris clear tube OD 8mm]</t>
  </si>
  <si>
    <t>SPEC-1376</t>
  </si>
  <si>
    <t>WSRF-0016 [Generator_Fan]</t>
  </si>
  <si>
    <t>SPEC-320</t>
  </si>
  <si>
    <t>Lanyard Screw 10258/AS-M3</t>
  </si>
  <si>
    <t>SPEC-588</t>
  </si>
  <si>
    <t>M-F Hex Standoff Spacer, M3, 5mm Hex size, 10mm Long ,8 mm Thread size, Brass</t>
  </si>
  <si>
    <t>SPEC-370</t>
  </si>
  <si>
    <t>Switch Holder</t>
  </si>
  <si>
    <t>SPEC-357</t>
  </si>
  <si>
    <t>Diode IR Sensor TIp Mount</t>
  </si>
  <si>
    <t>SPEC-1302</t>
  </si>
  <si>
    <t>PTS-1090 [SRF Switch Holder]</t>
  </si>
  <si>
    <t>SPEC-353</t>
  </si>
  <si>
    <t>Dual insulator</t>
  </si>
  <si>
    <t>SPEC-933</t>
  </si>
  <si>
    <t>Single-b 2024, insulator</t>
  </si>
  <si>
    <t>SPEC-897</t>
  </si>
  <si>
    <t>ADHESIVE TAPE 29mmx45m</t>
  </si>
  <si>
    <t>SPEC-391</t>
  </si>
  <si>
    <t>CA AC COOLING UNIT (FILTER OUTPUT, COMPRESSOR OUTPUT AND CHILLER FAN)</t>
  </si>
  <si>
    <t>SPEC-497</t>
  </si>
  <si>
    <t>Leaseir MHR Laser System Handpiece Single 810 - English version</t>
  </si>
  <si>
    <t>SPEC-406</t>
  </si>
  <si>
    <t>Blue tube OD.8mm, ID.5.5mm, 25mts - 1025U08 04</t>
  </si>
  <si>
    <t>SPEC-511</t>
  </si>
  <si>
    <t>M-F Hex Standoff Spacer, M3-10-5-2, 5mm, 10mm Long, M3, Brass</t>
  </si>
  <si>
    <t>SPEC-282</t>
  </si>
  <si>
    <t>YAXINY 002192 LANYARD</t>
  </si>
  <si>
    <t>SPEC-1101</t>
  </si>
  <si>
    <t>PTS-1203 [DS AC CHILLER X BASE SPACER DISC]</t>
  </si>
  <si>
    <t>SPEC-1303</t>
  </si>
  <si>
    <t>PTS-1984 [SRF BS Electrode clip x2]</t>
  </si>
  <si>
    <t>SPEC-990</t>
  </si>
  <si>
    <t>AHR LCHILLER (Chiller adjustment bracket)</t>
  </si>
  <si>
    <t>SPEC-1275</t>
  </si>
  <si>
    <t>T28X190 [Motedis post 28x190, M8 threaded]</t>
  </si>
  <si>
    <t>SPEC-378</t>
  </si>
  <si>
    <t>CA MOSFET GATE</t>
  </si>
  <si>
    <t>SPEC-1082</t>
  </si>
  <si>
    <t>DS DATA LABEL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</si>
  <si>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</si>
  <si>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</si>
  <si>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</si>
  <si>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</si>
  <si>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</si>
  <si>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</si>
  <si>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SPEC-793</t>
  </si>
  <si>
    <t>Hanger base cover</t>
  </si>
  <si>
    <t>SPEC-1202</t>
  </si>
  <si>
    <t>43045-0412 [Micro-Fit 3.0 PCB Header, 4 Contact(s), 3.0mm Pitch, 2 Row(s), Shrouded]</t>
  </si>
  <si>
    <t>SPEC-162</t>
  </si>
  <si>
    <t>Copper strip</t>
  </si>
  <si>
    <t>SPEC-217</t>
  </si>
  <si>
    <t>M-F Hex Standoff Spacers, M3-05-5-2, 5mm, 5mm Long, M3, Brass</t>
  </si>
  <si>
    <t>SPEC-1060</t>
  </si>
  <si>
    <t>0218008.HXP [Fuse, Cartridge, 8 A, 250 V, 5mm x 20mm]</t>
  </si>
  <si>
    <t>SPEC-1016</t>
  </si>
  <si>
    <t>AHR Welcome pack box</t>
  </si>
  <si>
    <t>SPEC-6</t>
  </si>
  <si>
    <t>Angle Mount</t>
  </si>
  <si>
    <t>SPEC-1248</t>
  </si>
  <si>
    <t>CR2032 [CMOS 3V BATTERY]</t>
  </si>
  <si>
    <t>SPEC-768</t>
  </si>
  <si>
    <t>INSULATION FOAM TAPE 50mmx3mmx15m (meter a stock por mts)</t>
  </si>
  <si>
    <t>SPEC-778</t>
  </si>
  <si>
    <t>Heat Shrink Tube, OD:2.5mm, Color:Black</t>
  </si>
  <si>
    <t>SPEC-720</t>
  </si>
  <si>
    <t>Renata CR-1220-MFR 3V/40mAh Lithium Battery</t>
  </si>
  <si>
    <t>SPEC-642</t>
  </si>
  <si>
    <t>SRF Filter Mount Top</t>
  </si>
  <si>
    <t>SPEC-334</t>
  </si>
  <si>
    <t>ANTIFREEZE CC-30 [COOLANT-ANTIFREEZE CC 30%]</t>
  </si>
  <si>
    <t>SPEC-949</t>
  </si>
  <si>
    <t>Carton box - 30x24x5cm</t>
  </si>
  <si>
    <t>SPEC-485</t>
  </si>
  <si>
    <t>MHR Console label 230 - English version</t>
  </si>
  <si>
    <t>SPEC-500</t>
  </si>
  <si>
    <t>Leaseir MHR Laser System Handpiece Dual 810 - English version</t>
  </si>
  <si>
    <t>SPEC-1034</t>
  </si>
  <si>
    <t>7427013 [Ferrite Ring Toroid Core]</t>
  </si>
  <si>
    <t>SPEC-1286</t>
  </si>
  <si>
    <t>PTS-2328 [Umbilical guide fastener]</t>
  </si>
  <si>
    <t>SPEC-171</t>
  </si>
  <si>
    <t>Motedis 28X150.5 M8</t>
  </si>
  <si>
    <t>SPEC-649</t>
  </si>
  <si>
    <t>SRF rejilla del ventilador (Finger Guard 50x50) (farnell 2533088)</t>
  </si>
  <si>
    <t>Ningbo</t>
  </si>
  <si>
    <t>SPEC-714</t>
  </si>
  <si>
    <t>RJ-45 data transmission connection, 1m ,CAT6, 28AWG</t>
  </si>
  <si>
    <t>SPEC-1381</t>
  </si>
  <si>
    <t>Colombia MHR Aesth 110 Console label</t>
  </si>
  <si>
    <t>SPEC-1410</t>
  </si>
  <si>
    <t>QUICK GUIDE AHR (ENGLISH)</t>
  </si>
  <si>
    <t>SPEC-1217</t>
  </si>
  <si>
    <t>PETBK10B10 [Sleeving, Expandable, Braided, PE (Polyester), Black, 10 mm, 10 m, 32.8 ft]</t>
  </si>
  <si>
    <t>SPEC-1152</t>
  </si>
  <si>
    <t>AHR 230 BACK COVER LABEL</t>
  </si>
  <si>
    <t>SPEC-1165</t>
  </si>
  <si>
    <t>TT0095.NG.C [Heat Shrink Tube, OD: 9.5mm, Color:Black]</t>
  </si>
  <si>
    <t>SPEC-1065</t>
  </si>
  <si>
    <t>1025U06R08 [Legris clear tube, OD:8mm, ID:5.5mm]</t>
  </si>
  <si>
    <t>SPEC-1211</t>
  </si>
  <si>
    <t>43045-0400 [Micro-Fit 3.0 Series Right Angle PCB Header, 4 Contact(s), 3.0mm Pitch, 2 Row(s), Shrouded]</t>
  </si>
  <si>
    <t>SPEC-1119</t>
  </si>
  <si>
    <t>KPEG242 [Transducer, Buzzer, Continuous, 70 dB, 4.1 kHz, Through Hole]</t>
  </si>
  <si>
    <t>SPEC-8</t>
  </si>
  <si>
    <t>Front Mount R</t>
  </si>
  <si>
    <t>SPEC-728_es</t>
  </si>
  <si>
    <t>Treatment Room Laser Radiation Poster - Spanish version</t>
  </si>
  <si>
    <t>SPEC-7</t>
  </si>
  <si>
    <t>Front Mount L</t>
  </si>
  <si>
    <t>SPEC-1083</t>
  </si>
  <si>
    <t>DS SMALL VINYL</t>
  </si>
  <si>
    <t>SPEC-1319</t>
  </si>
  <si>
    <t>1100U06R08 [Legris clear tube OD 6mm]</t>
  </si>
  <si>
    <t>SPEC-574</t>
  </si>
  <si>
    <t>O ring 30x1mm, black, NBR</t>
  </si>
  <si>
    <t>SPEC-1277</t>
  </si>
  <si>
    <t>159-1478 [Nitrile Rubber O-ring, Ø 1.6 mm x 8.5 m]</t>
  </si>
  <si>
    <t>SPEC-807</t>
  </si>
  <si>
    <t>Translucent silicone Flat Seal, OD 46,1mm , ID 32,20 mm</t>
  </si>
  <si>
    <t>SPEC-870</t>
  </si>
  <si>
    <t>Male thumbscrew knob, M4x16mm (ASM-2189)</t>
  </si>
  <si>
    <t>SPEC-758</t>
  </si>
  <si>
    <t>Top Tray Gray Sticker</t>
  </si>
  <si>
    <t>SPEC-1459</t>
  </si>
  <si>
    <t>810-HR Back Sitcker</t>
  </si>
  <si>
    <t>SPEC-407</t>
  </si>
  <si>
    <t>Blue tube OD.6mm, ID.4mm, 25mts - 1025U06 04</t>
  </si>
  <si>
    <t>SPEC-1337</t>
  </si>
  <si>
    <t>PTS-1926 [SRF HP Cover R]</t>
  </si>
  <si>
    <t>SPEC-1339</t>
  </si>
  <si>
    <t>PTS-1925 [SRF HP Cover L]</t>
  </si>
  <si>
    <t>SPEC-790</t>
  </si>
  <si>
    <t>BackCover screw mount b</t>
  </si>
  <si>
    <t>SPEC-789</t>
  </si>
  <si>
    <t>BackCover screw mount a</t>
  </si>
  <si>
    <t>SPEC-869</t>
  </si>
  <si>
    <t>Polyamide M4 tooth knob BOESTR78104H</t>
  </si>
  <si>
    <t>SPEC-1336</t>
  </si>
  <si>
    <t>PTS-0262.001 [SRF Con Label Plate]</t>
  </si>
  <si>
    <t>SPEC-989</t>
  </si>
  <si>
    <t>AHR LTOP (Frontal adjustment bracket )</t>
  </si>
  <si>
    <t>SPEC-763</t>
  </si>
  <si>
    <t>16A Crimp contact</t>
  </si>
  <si>
    <t>SPEC-571</t>
  </si>
  <si>
    <t>CA EXTENSION SENSOR NTC</t>
  </si>
  <si>
    <t>SPEC-895</t>
  </si>
  <si>
    <t>PVC ADHESIVE TAPE - BLACK</t>
  </si>
  <si>
    <t>SPEC-811</t>
  </si>
  <si>
    <t>Allen Wrench 1.5mm</t>
  </si>
  <si>
    <t>SPEC-948</t>
  </si>
  <si>
    <t>Carton box - 24x18x5cm</t>
  </si>
  <si>
    <t>SPEC-791</t>
  </si>
  <si>
    <t>Heat Shrink Tube, OD: 6.4mm, Color:Black TT0064.NG.C</t>
  </si>
  <si>
    <t>SPEC-183</t>
  </si>
  <si>
    <t>Fitting Plug 8mm - 3126 08 00</t>
  </si>
  <si>
    <t>SPEC-135</t>
  </si>
  <si>
    <t>Socket head cap screw, ISO 4762 M10 x 1.5 mm Thread 100 mm Long</t>
  </si>
  <si>
    <t>SPEC-1157</t>
  </si>
  <si>
    <t>LEASEIR LOGO LABEL</t>
  </si>
  <si>
    <t>SPEC-1102</t>
  </si>
  <si>
    <t>PET8BK50MR [Sleeving, Braided, 12 mm, PE (Polyester), Black, 50 m]</t>
  </si>
  <si>
    <t>SPEC-597</t>
  </si>
  <si>
    <t>Black tube, OD.4mm, ID.2.5mm, 25mts - 1025U04R01</t>
  </si>
  <si>
    <t>SPEC-1149</t>
  </si>
  <si>
    <t>MHR 110 BACK COVER LABEL</t>
  </si>
  <si>
    <t>SPEC-1151</t>
  </si>
  <si>
    <t>AHR 110 BACK COVER LABEL</t>
  </si>
  <si>
    <t>SPEC-1516</t>
  </si>
  <si>
    <t>Lanyard Single</t>
  </si>
  <si>
    <t>SPEC-1515</t>
  </si>
  <si>
    <t>Lanyard Dual 810</t>
  </si>
  <si>
    <t>SPEC-1512</t>
  </si>
  <si>
    <t>Lanyard Quad Blend</t>
  </si>
  <si>
    <t>SPEC-1514</t>
  </si>
  <si>
    <t>Lanyard Dual Blend</t>
  </si>
  <si>
    <t>SPEC-1513</t>
  </si>
  <si>
    <t>Lanyard Quad 810</t>
  </si>
  <si>
    <t>SPEC-207</t>
  </si>
  <si>
    <t>Disc magnet self-adhesive</t>
  </si>
  <si>
    <t>SPEC-1326</t>
  </si>
  <si>
    <t>43645-0300 [Micro-Fit Female Crimp Connector Housing, 3mm Pitch, 3 Way, 1 Row]</t>
  </si>
  <si>
    <t>SPEC-1168</t>
  </si>
  <si>
    <t>2518193 [2.54mm 4 Way 1 Row Straight PCB Socket Strip]</t>
  </si>
  <si>
    <t>SPEC-418</t>
  </si>
  <si>
    <t>Clear tube, OD.4mm, ID.2,5mm, 25mts - 1025U04R08</t>
  </si>
  <si>
    <t>SPEC-785</t>
  </si>
  <si>
    <t>Plastic Braid OD:6.0mm, Color:Black (meter a stock por metros)</t>
  </si>
  <si>
    <t>SPEC-1064</t>
  </si>
  <si>
    <t>1025U06R08 [Legris clear tube, OD:6mm, ID:4mm]</t>
  </si>
  <si>
    <t>SPEC-397</t>
  </si>
  <si>
    <t>Half din rail</t>
  </si>
  <si>
    <t>SPEC-1014</t>
  </si>
  <si>
    <t>AHR top protection foam, 350x200x30mm</t>
  </si>
  <si>
    <t>SPEC-213</t>
  </si>
  <si>
    <t>Fuse 16A 250VAC - 0034.3129</t>
  </si>
  <si>
    <t>SPEC-837</t>
  </si>
  <si>
    <t>QUAD-Aesth-BLEND-b Yellow Label - Italy</t>
  </si>
  <si>
    <t>SPEC-695</t>
  </si>
  <si>
    <t>QUAD-Aesth-810-b Yellow Label</t>
  </si>
  <si>
    <t>SPEC-846</t>
  </si>
  <si>
    <t>MHR Front foam</t>
  </si>
  <si>
    <t>SPEC-780</t>
  </si>
  <si>
    <t>12AWG TS Wire, OD:4.6mm, Color:Blue</t>
  </si>
  <si>
    <t>SPEC-1036</t>
  </si>
  <si>
    <t>3772 [2.0mm DC POWER JACK]</t>
  </si>
  <si>
    <t>SPEC-781</t>
  </si>
  <si>
    <t>12AWG TS Wire, OD:4.6mm, Color:Red</t>
  </si>
  <si>
    <t>SPEC-1390</t>
  </si>
  <si>
    <t>022610 90 [Rounded head screw, DIN 603 A2/70, M10x90, SS]</t>
  </si>
  <si>
    <t>SPEC-527</t>
  </si>
  <si>
    <t>Holt melt adhesive white</t>
  </si>
  <si>
    <t>SPEC-942</t>
  </si>
  <si>
    <t>Leaseir SRF Console Label</t>
  </si>
  <si>
    <t>SPEC-1424</t>
  </si>
  <si>
    <t>PMBL2BC [SOBRE BURBUJA 22x26]</t>
  </si>
  <si>
    <t>SPEC-1113</t>
  </si>
  <si>
    <t>M20-9992046 [Pin Header, Board-to-Board, 2.54 mm, 1 Rows, 20 Contacts]</t>
  </si>
  <si>
    <t>SPEC-1425</t>
  </si>
  <si>
    <t>PMBL0BC [SOBRE BURBUJA 15x21]</t>
  </si>
  <si>
    <t>SPEC-1013</t>
  </si>
  <si>
    <t>AHR side protection foam, 640x350x10mm</t>
  </si>
  <si>
    <t>SPEC-494</t>
  </si>
  <si>
    <t>Blue tube, OD.4mm, ID.2,5mm, 25mts - 1025U0404</t>
  </si>
  <si>
    <t>SPEC-966</t>
  </si>
  <si>
    <t>Through Hole Resistor, 0.33 ohm</t>
  </si>
  <si>
    <t>SPEC-1020</t>
  </si>
  <si>
    <t>14778631 [Umbilical metal bracket, tube 25mm]</t>
  </si>
  <si>
    <t>SPEC-1029</t>
  </si>
  <si>
    <t>511099200563 [AHR RTAP cable 2+8x0.18mm² white, 100m roll]</t>
  </si>
  <si>
    <t>SPEC-764</t>
  </si>
  <si>
    <t>Plastic Braid OD:5.0mm, Color:Black</t>
  </si>
  <si>
    <t>SPEC-368</t>
  </si>
  <si>
    <t>Multimec 1PS-06</t>
  </si>
  <si>
    <t>SPEC-528</t>
  </si>
  <si>
    <t>Insulation pipe - XG-06X006</t>
  </si>
  <si>
    <t>SPEC-1327</t>
  </si>
  <si>
    <t>DE09S064TLF [9 Way Panel Mount D-sub Connector Socket, 2.74mm Pitch]</t>
  </si>
  <si>
    <t>SPEC-577</t>
  </si>
  <si>
    <t>Lasermet FDA AP-32x16</t>
  </si>
  <si>
    <t>SPEC-1226</t>
  </si>
  <si>
    <t>RSCB31ES [Adhesive closure bubble bag 18x30cm]</t>
  </si>
  <si>
    <t>SPEC-1099</t>
  </si>
  <si>
    <t>43020-0400 [Micro-Fit 3.0 Male Connector Housing, 3mm Pitch, 4 Way, 2 Row]</t>
  </si>
  <si>
    <t>SPEC-772</t>
  </si>
  <si>
    <t>CONNECTION STRIP 12 CONTACTS</t>
  </si>
  <si>
    <t>SPEC-1132</t>
  </si>
  <si>
    <t>255-6373 [FKM O-Ring, 59mm Bore, 62mm Outer Diameter]</t>
  </si>
  <si>
    <t>SPEC-697</t>
  </si>
  <si>
    <t>QUAD-Aesth-BLEND-b Yellow Label</t>
  </si>
  <si>
    <t>SPEC-1407</t>
  </si>
  <si>
    <t>R4-40X1/2 [Recessed Head Phillips Screw, R4-40X1/2, SS]</t>
  </si>
  <si>
    <t>SPEC-1058</t>
  </si>
  <si>
    <t>005.13.051 [M-F Spacer, M3x5x11, steel]</t>
  </si>
  <si>
    <t>SPEC-159</t>
  </si>
  <si>
    <t>Bushing open 11.1-15.9mm</t>
  </si>
  <si>
    <t>SPEC-300</t>
  </si>
  <si>
    <t>RTAP ZH CPR 8x0.2 - 24AWG*8c in sleeve (Ascable-Recael)</t>
  </si>
  <si>
    <t>SPEC-1129</t>
  </si>
  <si>
    <t>2212S-20SG-85 [PCB Receptacle, Board-to-Board, 2.54 mm, 1 Rows, 20 Contacts]</t>
  </si>
  <si>
    <t>SPEC-1159</t>
  </si>
  <si>
    <t>255-6365 [FKM O-Ring O-Ring, 48mm Bore, 52mm Outer Diameter]</t>
  </si>
  <si>
    <t>SPEC-621</t>
  </si>
  <si>
    <t>O-Ring 34x1.5mm, Black, EPDM</t>
  </si>
  <si>
    <t>SPEC-1005</t>
  </si>
  <si>
    <t>PLACA BAHÍA AHR (90x70x10mm)</t>
  </si>
  <si>
    <t>SPEC-1108</t>
  </si>
  <si>
    <t>43025-0600 [Micro-Fit 3.0 Receptacle Connector Housing, 3mm Pitch, 6 Way, 2 Row]</t>
  </si>
  <si>
    <t>SPEC-1494</t>
  </si>
  <si>
    <t>DS Chiller Label</t>
  </si>
  <si>
    <t>SPEC-96</t>
  </si>
  <si>
    <t>Molex 43025-0400</t>
  </si>
  <si>
    <t>SPEC-893</t>
  </si>
  <si>
    <t>TM2S8-C</t>
  </si>
  <si>
    <t>SPEC-1121</t>
  </si>
  <si>
    <t>PTS-1927 [SRF BS Cover]</t>
  </si>
  <si>
    <t>SPEC-214</t>
  </si>
  <si>
    <t>Fuse 10A 250VAC - 0034.3127</t>
  </si>
  <si>
    <t>SPEC-1150</t>
  </si>
  <si>
    <t>MHR 230 BACK COVER LABEL</t>
  </si>
  <si>
    <t>SPEC-1186</t>
  </si>
  <si>
    <t>200277-1104 [Female PCB Connector Housing, 2.5mm Pitch, 1 Row]</t>
  </si>
  <si>
    <t>SPEC-1290</t>
  </si>
  <si>
    <t>HTSB-M3-15-5-2 [Standoff, M3 Thread, 15mm Body, Brass, Male/Female]</t>
  </si>
  <si>
    <t>SPEC-1068</t>
  </si>
  <si>
    <t>8195 [PCB Terminal, Brass, 1.57 mm, Tin]</t>
  </si>
  <si>
    <t>SPEC-1190</t>
  </si>
  <si>
    <t>43020-0201 [Micro-Fit 3.0 Male Connector Housing, 3mm Pitch, 2 Way, 2 Row]</t>
  </si>
  <si>
    <t>SPEC-925</t>
  </si>
  <si>
    <t>Emergency Stop Label</t>
  </si>
  <si>
    <t>SPEC-873</t>
  </si>
  <si>
    <t>Document Briefcase</t>
  </si>
  <si>
    <t>SPEC-756</t>
  </si>
  <si>
    <t>Molex DuraClick Wire-to-Board Receptable Housing, Single Row, 6 circuits, natural</t>
  </si>
  <si>
    <t>SPEC-1047</t>
  </si>
  <si>
    <t>PTS-1305 [SRF Filter Cover]</t>
  </si>
  <si>
    <t>SPEC-546</t>
  </si>
  <si>
    <t>Maximum Room Temperature</t>
  </si>
  <si>
    <t>SPEC-1244</t>
  </si>
  <si>
    <t>51110-1450 [Milli-Grid Female Connector Housing, 2mm Pitch, 14 Way, 2 Row]</t>
  </si>
  <si>
    <t>SPEC-568</t>
  </si>
  <si>
    <t>Cable Tie Mount</t>
  </si>
  <si>
    <t>SPEC-1147</t>
  </si>
  <si>
    <t>MHR/DS QR LABEL</t>
  </si>
  <si>
    <t>SPEC-1255</t>
  </si>
  <si>
    <t>91292A149 [[ISO 4762 M8 x 1.25 mm Thread, 30 mm Long]]</t>
  </si>
  <si>
    <t>SPEC-1315</t>
  </si>
  <si>
    <t>123-1876 [Wera L Shape Metric, 4mm]</t>
  </si>
  <si>
    <t>SPEC-276</t>
  </si>
  <si>
    <t>MOSS 0100210300VR M4 Countersunk Head, 16mm Nylon Slot Plain</t>
  </si>
  <si>
    <t>SPEC-884</t>
  </si>
  <si>
    <t>M3x30 Cheese Slotted Nylon M/Screw</t>
  </si>
  <si>
    <t>SPEC-591</t>
  </si>
  <si>
    <t>Bolt Protection Cap, M8, Distance Across Flats 12.8 mm, LDPE</t>
  </si>
  <si>
    <t>SPEC-834</t>
  </si>
  <si>
    <t>DUAL-Aesth-810-b Yellow Label - Italy</t>
  </si>
  <si>
    <t>SPEC-1359</t>
  </si>
  <si>
    <t>PTS-1696 [SRF LML FC Label]</t>
  </si>
  <si>
    <t>SPEC-1338</t>
  </si>
  <si>
    <t>PTS-1696 [SRF LML FS Label]</t>
  </si>
  <si>
    <t>SPEC-1350</t>
  </si>
  <si>
    <t>PTS-1697 [SRF LML BS Label]</t>
  </si>
  <si>
    <t>SPEC-328</t>
  </si>
  <si>
    <t>RS PRO Insulated Ring Terminal, M4 Stud Size, 2.5mm² to 6mm² Wire Size, Yellow</t>
  </si>
  <si>
    <t>SPEC-926</t>
  </si>
  <si>
    <t>Threaded Insert, Brass, M3</t>
  </si>
  <si>
    <t>SPEC-1449</t>
  </si>
  <si>
    <t>02201503 [14AWG TS Wire, OD:2.9mm ,Color:Red]</t>
  </si>
  <si>
    <t>SPEC-985</t>
  </si>
  <si>
    <t>02201506 [14AWG TS Wire, OD:2.9mm ,Color:Blue]</t>
  </si>
  <si>
    <t>SPEC-560</t>
  </si>
  <si>
    <t>Slotted Countersunk Head Screws, M3, Thread 10mm long, Nylon</t>
  </si>
  <si>
    <t>SPEC-1138</t>
  </si>
  <si>
    <t>PTS-1287 [SRF FC spacer cover]</t>
  </si>
  <si>
    <t>SPEC-724</t>
  </si>
  <si>
    <t>Single-b Sleeve</t>
  </si>
  <si>
    <t>SPEC-572</t>
  </si>
  <si>
    <t>Dual-b sleeve</t>
  </si>
  <si>
    <t>SPEC-1037</t>
  </si>
  <si>
    <t>8388395 [CE Splice Connector, Insulated 12-10 AWG, 2.5-6 mm²]</t>
  </si>
  <si>
    <t>SPEC-385</t>
  </si>
  <si>
    <t>Quad-b sleeve</t>
  </si>
  <si>
    <t>SPEC-694</t>
  </si>
  <si>
    <t>DUAL-Aesth-810-b Yellow Label</t>
  </si>
  <si>
    <t>SPEC-130</t>
  </si>
  <si>
    <t>Rivet nut, M4 x 0.70, 18-8 SS</t>
  </si>
  <si>
    <t>SPEC-931</t>
  </si>
  <si>
    <t>Single-b 2024, sleeve</t>
  </si>
  <si>
    <t>SPEC-399</t>
  </si>
  <si>
    <t>93655A416 [M3 x 0.50 mm Thread Size, 6 mm Hex Size, 5 mm Long, 18-8 SS, M-F Hex Standoff]</t>
  </si>
  <si>
    <t>SPEC-1154</t>
  </si>
  <si>
    <t>DUAL HANDPIECE MHR LABEL</t>
  </si>
  <si>
    <t>SPEC-1153</t>
  </si>
  <si>
    <t>QUAD HANDPIECE MHR LABEL</t>
  </si>
  <si>
    <t>SPEC-1155</t>
  </si>
  <si>
    <t>SINGLE HANDPIECE MHR LABEL</t>
  </si>
  <si>
    <t>SPEC-836</t>
  </si>
  <si>
    <t>QUAD-Aesth-810-b Yellow Label - Italy</t>
  </si>
  <si>
    <t>SPEC-762</t>
  </si>
  <si>
    <t>20AWG TS Wire, OD:1.8mm, Color:Red</t>
  </si>
  <si>
    <t>SPEC-982</t>
  </si>
  <si>
    <t>02201406 [16AWG TS Wire, OD:2.9mm ,Color:Blue]</t>
  </si>
  <si>
    <t>SPEC-1115</t>
  </si>
  <si>
    <t>PTS-1681 [SRF BS Tip]</t>
  </si>
  <si>
    <t>SPEC-443</t>
  </si>
  <si>
    <t>O ring 33x1.5</t>
  </si>
  <si>
    <t>SPEC-812</t>
  </si>
  <si>
    <t>Allen Wrench 2.5mm</t>
  </si>
  <si>
    <t>SPEC-1216</t>
  </si>
  <si>
    <t>51110-1050 [Milli-Grid Female Connector Housing, 2mm Pitch, 10 Way, 2 Row]</t>
  </si>
  <si>
    <t>SPEC-122</t>
  </si>
  <si>
    <t>Molex 43025-0200 Connector</t>
  </si>
  <si>
    <t>SPEC-1349</t>
  </si>
  <si>
    <t>S-05-05-N [Magnetic disc Ø 5 mm, height 5 mm, holds approx. 940 g]</t>
  </si>
  <si>
    <t>SPEC-950</t>
  </si>
  <si>
    <t>O ring 33x1mm, black, NBR</t>
  </si>
  <si>
    <t>SPEC-1267</t>
  </si>
  <si>
    <t>97467A693 [M8 x 1.25 Rivet Nut 18-8 SS]</t>
  </si>
  <si>
    <t>SPEC-117</t>
  </si>
  <si>
    <t>HP sticker plate</t>
  </si>
  <si>
    <t>SPEC-1006</t>
  </si>
  <si>
    <t>PLACA BAHÍA AHR (90x70x05mm)</t>
  </si>
  <si>
    <t>SPEC-916</t>
  </si>
  <si>
    <t>M3X8mm, F-F Spacer</t>
  </si>
  <si>
    <t>SPEC-1148</t>
  </si>
  <si>
    <t>AHR QR LABEL</t>
  </si>
  <si>
    <t>SPEC-1002</t>
  </si>
  <si>
    <t>1028 [DC Plug, 2.1x5.5mm]</t>
  </si>
  <si>
    <t>SPEC-1460</t>
  </si>
  <si>
    <t>Single Pro V Label</t>
  </si>
  <si>
    <t>SPEC-958</t>
  </si>
  <si>
    <t>Elastic rope coil length 150 m, diameter 2mm (meter a stock por mts)</t>
  </si>
  <si>
    <t>SPEC-1128</t>
  </si>
  <si>
    <t>PTS-1687 [SRF FS tip]</t>
  </si>
  <si>
    <t>Total</t>
  </si>
  <si>
    <t>SPEC-984</t>
  </si>
  <si>
    <t>02201403 [16AWG TS Wire, OD:2.9mm ,Color:Red]</t>
  </si>
  <si>
    <t>SPEC-1447</t>
  </si>
  <si>
    <t>02201407 [16AWG TS Wire, OD:2.9mm ,Color:Brown]</t>
  </si>
  <si>
    <t>SPEC-1446</t>
  </si>
  <si>
    <t>02201402 [16AWG TS Wire, OD:2.9mm ,Color:Gray]</t>
  </si>
  <si>
    <t>SPEC-1445</t>
  </si>
  <si>
    <t>02201404 [16AWG TS Wire, OD:2.9mm ,Color:Yellow]</t>
  </si>
  <si>
    <t>SPEC-983</t>
  </si>
  <si>
    <t>02201400 [16AWG TS Wire, OD:2.9mm ,Color:Black]</t>
  </si>
  <si>
    <t>SPEC-600</t>
  </si>
  <si>
    <t>Green/Yellow wire, UL1015,16AWG</t>
  </si>
  <si>
    <t>SPEC-1215</t>
  </si>
  <si>
    <t>50394-8051 [Milli-Grid Female Crimp Terminal, 30AWG Min, 24AWG Max]</t>
  </si>
  <si>
    <t>SPEC-822</t>
  </si>
  <si>
    <t>Sontara Multipurpose EC Wipe, Optical paper, 30x38 cm sheets (400 hojas por rollo)</t>
  </si>
  <si>
    <t>SPEC-737</t>
  </si>
  <si>
    <t>SINGLE-Aesth-810-b Yellow Label</t>
  </si>
  <si>
    <t>SPEC-779</t>
  </si>
  <si>
    <t>2.00mm Pitch, Micro-Latch Female Crimp Terminal, Tin (Sn) Plating, 24-30 AWG</t>
  </si>
  <si>
    <t>SPEC-83</t>
  </si>
  <si>
    <t>Lasermet AP-32x16 (Laser Aperture)</t>
  </si>
  <si>
    <t>SPEC-584</t>
  </si>
  <si>
    <t>Hex Socket Countersunk Head Screw, ISO 10642, M6 x 1 mm Thread, 40 mm Long, SS</t>
  </si>
  <si>
    <t>SPEC-516</t>
  </si>
  <si>
    <t>Prevailing torque High Nut, M10 x 1.5 mm Thread, Class 8, Zinc-Plated Steel</t>
  </si>
  <si>
    <t>SPEC-272</t>
  </si>
  <si>
    <t>Socket Head Screw, ISO 4762 M8 x 1.25 mm Thread, 12 mm Long, SS</t>
  </si>
  <si>
    <t>SPEC-555</t>
  </si>
  <si>
    <t>Pan Head Screw, M3 x 0.50 mm Thread, 8mm Long, SS</t>
  </si>
  <si>
    <t>SPEC-554</t>
  </si>
  <si>
    <t>Slotted Countersunk Head Screws, M3, Thread 12mm long, Nylon</t>
  </si>
  <si>
    <t>SPEC-1254</t>
  </si>
  <si>
    <t>550011023 [Inner Circlip I-23, DIN 472]</t>
  </si>
  <si>
    <t>SPEC-324</t>
  </si>
  <si>
    <t>Pan Head Screw, MOSS 0080150000VR M3x30, Thread Length 30.0 mm, PA</t>
  </si>
  <si>
    <t>SPEC-1283</t>
  </si>
  <si>
    <t>93805A259 [Threaded Rod, DIN 976, M8 x 1.25 mm Thread Size, 40 mm Long, SS]</t>
  </si>
  <si>
    <t>SPEC-231</t>
  </si>
  <si>
    <t>MHR-b Caliport Label QUAD</t>
  </si>
  <si>
    <t>SPEC-73</t>
  </si>
  <si>
    <t>DUAL 810-b Yellow Label</t>
  </si>
  <si>
    <t>SPEC-1177</t>
  </si>
  <si>
    <t>1N5819 [40V 1A, Schottky Diode, 2-Pin DO-204AL]</t>
  </si>
  <si>
    <t>SPEC-74</t>
  </si>
  <si>
    <t>QUAD 810-b Yellow Label</t>
  </si>
  <si>
    <t>SPEC-233</t>
  </si>
  <si>
    <t>MHR-b Caliport Label DUAL</t>
  </si>
  <si>
    <t>SPEC-102</t>
  </si>
  <si>
    <t>Black Nylon Snap Rivet, 4mm - 255-9992</t>
  </si>
  <si>
    <t>SPEC-696</t>
  </si>
  <si>
    <t>DUAL-Aesth-BLEND-b Yellow Label</t>
  </si>
  <si>
    <t>SPEC-1432</t>
  </si>
  <si>
    <t>MC29375 [TERMINAL, BUTT SPLICE, CRIMP, BLUE]</t>
  </si>
  <si>
    <t>SPEC-806</t>
  </si>
  <si>
    <t>Molex Connector,1.00mm Pitch, Pico-Lock Receptacle Crimp Housing, Single Row, Positive Lock, 4 Circuits, Black</t>
  </si>
  <si>
    <t>SPEC-1187</t>
  </si>
  <si>
    <t>201447-2400 [Male Crimp Terminal, 22AWG Min, 20AWG Max]</t>
  </si>
  <si>
    <t>SPEC-509</t>
  </si>
  <si>
    <t>Rivet Nut M4</t>
  </si>
  <si>
    <t>SPEC-978</t>
  </si>
  <si>
    <t>06900610 [20AWG TS Wire, OD:2.1mm ,Color:Black]</t>
  </si>
  <si>
    <t>SPEC-979</t>
  </si>
  <si>
    <t>06900613 [20AWG TS Wire, OD:2.1mm ,Color:Red]</t>
  </si>
  <si>
    <t>SPEC-496</t>
  </si>
  <si>
    <t>Sherlock Female Connector Housing, 2mm Pitch, 6 Way, 1 Row</t>
  </si>
  <si>
    <t>SPEC-1448</t>
  </si>
  <si>
    <t>06901313 [18AWG TS Wire, OD:2.5mm,Color:Red]</t>
  </si>
  <si>
    <t>SPEC-1122</t>
  </si>
  <si>
    <t>196-5541 [Nitrile Rubber O-Ring, 8mm Bore, 11.2mm Outer Diameter]</t>
  </si>
  <si>
    <t>SPEC-959</t>
  </si>
  <si>
    <t>Tensioner, black</t>
  </si>
  <si>
    <t>SPEC-623</t>
  </si>
  <si>
    <t>Flat Tip Screw, ISO 4026, M3 x0.5 mm Thread , 6 mm Long, SS</t>
  </si>
  <si>
    <t>SPEC-1343</t>
  </si>
  <si>
    <t>35507-0200 [Sherlock Female Connector Housing, 2mm Pitch, 2 Way, 1 Row]</t>
  </si>
  <si>
    <t>SPEC-1263</t>
  </si>
  <si>
    <t>43030-0007 [Micro-Fit 3.0 Female Crimp Terminal, 24AWG Min, 20AWG Max]</t>
  </si>
  <si>
    <t>SPEC-136</t>
  </si>
  <si>
    <t>Molex - 46235-0001</t>
  </si>
  <si>
    <t>SPEC-1344</t>
  </si>
  <si>
    <t>534-238 [Insulated Ring Terminal, M3 Stud Size, 0.5mm² to 1.5mm² Wire Size, Red]</t>
  </si>
  <si>
    <t>SPEC-977</t>
  </si>
  <si>
    <t>06900617 [22AWG TS Wire, OD:2.1mm ,Color:Brown]</t>
  </si>
  <si>
    <t>SPEC-975</t>
  </si>
  <si>
    <t>06900611 [22AWG TS Wire, OD:2.1mm ,Color:White]</t>
  </si>
  <si>
    <t>SPEC-976</t>
  </si>
  <si>
    <t>06900612 [22AWG TS Wire, OD:2.1mm ,Color:Gray]</t>
  </si>
  <si>
    <t>SPEC-980</t>
  </si>
  <si>
    <t>06900615 [22AWG TS Wire, OD:2.1mm ,Color:Green]</t>
  </si>
  <si>
    <t>SPEC-1444</t>
  </si>
  <si>
    <t>0690061B [22AWG TS Wire, OD:2.1mm ,Color:Yellow/Green]</t>
  </si>
  <si>
    <t>SPEC-974</t>
  </si>
  <si>
    <t>06900616 [22AWG TS Wire, OD:2.1mm ,Color:Blue]</t>
  </si>
  <si>
    <t>SPEC-973</t>
  </si>
  <si>
    <t>06900614 [20AWG TS Wire, OD:2.1mm ,Color:Yellow]</t>
  </si>
  <si>
    <t>SPEC-814</t>
  </si>
  <si>
    <t>Plastic Zip Bag, 16 x 25 cm</t>
  </si>
  <si>
    <t>SPEC-239</t>
  </si>
  <si>
    <t>ISO 4762 M8 x 1.25 mm Thread, 20 mm Long</t>
  </si>
  <si>
    <t>MAT-1</t>
  </si>
  <si>
    <t>Wire label</t>
  </si>
  <si>
    <t>SPEC-813</t>
  </si>
  <si>
    <t>Plastic Zip Bag, 8x12 cm</t>
  </si>
  <si>
    <t>SPEC-590</t>
  </si>
  <si>
    <t>Self Adhesive Natural Cable Tie Mount 19 mm x 19mm, 4.1mm Max. Cable Tie Width</t>
  </si>
  <si>
    <t>SPEC-1352</t>
  </si>
  <si>
    <t>196-5422 [Nitrile Rubber O-Ring O-Ring, 28mm Bore, 30mm Outer Diameter]</t>
  </si>
  <si>
    <t>SPEC-432</t>
  </si>
  <si>
    <t>M5 x 5.5 Nipple</t>
  </si>
  <si>
    <t>SPEC-336</t>
  </si>
  <si>
    <t>Crimp end ferrule, Insulated, 8mm Pin, Black 16AWG 1.5mm²</t>
  </si>
  <si>
    <t>Panarcos</t>
  </si>
  <si>
    <t>SPEC-1434</t>
  </si>
  <si>
    <t>270220 [AT-6/4 yellow pre-insulated terminal]</t>
  </si>
  <si>
    <t>SPEC-759</t>
  </si>
  <si>
    <t>Zip Bag (packing list/documents)</t>
  </si>
  <si>
    <t>SPEC-747</t>
  </si>
  <si>
    <t>MHR-b Aesth Calibration Port Label</t>
  </si>
  <si>
    <t>SPEC-939</t>
  </si>
  <si>
    <t>Leaseir SRF FC Handpiece Label</t>
  </si>
  <si>
    <t>SPEC-940</t>
  </si>
  <si>
    <t>Leaseir SRF FS Handpiece Label</t>
  </si>
  <si>
    <t>SPEC-941</t>
  </si>
  <si>
    <t>Leaseir SRF BS Handpiece Label</t>
  </si>
  <si>
    <t>SPEC-134</t>
  </si>
  <si>
    <t>Socket head cap screw, ISO 4762 M8 x 1.25 mm Thread, 16 mm Long</t>
  </si>
  <si>
    <t>SPEC-624</t>
  </si>
  <si>
    <t>Socket Head Screw, ISO 4762, M2x0.4 mm Thread, 6 mm Long, SS</t>
  </si>
  <si>
    <t>SPEC-447</t>
  </si>
  <si>
    <t>TORNILLO DIN 912 M4x30 INOX (ALLEN)</t>
  </si>
  <si>
    <t>SPEC-911</t>
  </si>
  <si>
    <t>M3 nylon 6.6 sealing washer</t>
  </si>
  <si>
    <t>SPEC-1123</t>
  </si>
  <si>
    <t>196-5396 [Nitrile Rubber O-Ring, 8mm Bore, 10mm Outer Diameter]</t>
  </si>
  <si>
    <t>SPEC-1234</t>
  </si>
  <si>
    <t>91292A121 [ISO 4762 M4 x 0.7 mm Thread, 20 mm Long]</t>
  </si>
  <si>
    <t>SPEC-561</t>
  </si>
  <si>
    <t>O ring 3.5x2</t>
  </si>
  <si>
    <t>SPEC-1107</t>
  </si>
  <si>
    <t>43030-0001 [Micro-Fit 3.0 Series Female Crimp Terminal, 24AWG Min, 20AWG Max]</t>
  </si>
  <si>
    <t>SPEC-1222</t>
  </si>
  <si>
    <t>BVH-21T-P1.1 [Female Crimp Terminal, 22AWG Min, 18AWG Max]</t>
  </si>
  <si>
    <t>SPEC-886</t>
  </si>
  <si>
    <t>Black PVC Cable Grommet for Ø4mm tube, 6.4mm height</t>
  </si>
  <si>
    <t>SPEC-1105</t>
  </si>
  <si>
    <t>SVH-41T-P1.1 [Female Crimp Terminal, 20AWG Min, 16AWG Max]</t>
  </si>
  <si>
    <t>SPEC-513</t>
  </si>
  <si>
    <t>Socket Head Screw, ISO 4762 M4 x 0.7 mm Thread, 40 mm Long, 20mm Thread length, SS</t>
  </si>
  <si>
    <t>SPEC-242</t>
  </si>
  <si>
    <t>Socket Head Screw, ISO 4762 M4 x 0.7 mm Thread, 16 mm Long, SS</t>
  </si>
  <si>
    <t>SPEC-238</t>
  </si>
  <si>
    <t>Hex Socket Countersunk Head Screw, ISO 10642, M6 x 1.0 mm Thread, 20 mm Long, SS</t>
  </si>
  <si>
    <t>SPEC-871</t>
  </si>
  <si>
    <t>Flat Tip Screw, ISO 4026, DIN 913, M4 x 0.7 mm Thread, 10 mm Long, SS</t>
  </si>
  <si>
    <t>SPEC-915</t>
  </si>
  <si>
    <t>1/2, 6-32 Binding Head Screw, Steel</t>
  </si>
  <si>
    <t>SPEC-1358</t>
  </si>
  <si>
    <t>458-695 [Insulated Crimp Bootlace Ferrule, 8mm Pin Length, 1.2mm Pin Diameter, 0.75mm² Wire Size, Blue]</t>
  </si>
  <si>
    <t>SPEC-518</t>
  </si>
  <si>
    <t>Socket Head Screw, ISO 4762 M5 x 0.8 mm Thread, 16 mm Long, SS</t>
  </si>
  <si>
    <t>SPEC-451</t>
  </si>
  <si>
    <t>Pan Head Screws, M4 x 0.70 mm Thread, 8mm Long, SS</t>
  </si>
  <si>
    <t>SPEC-120</t>
  </si>
  <si>
    <t>Locknut, ISO 10511, M6 x 1.0 mm Thread, 6 mm High</t>
  </si>
  <si>
    <t>SPEC-198</t>
  </si>
  <si>
    <t>Socket Head Screw, ISO 4762, M4 x 0.7 mm Thread, 25 mm Long, SS</t>
  </si>
  <si>
    <t>SPEC-295</t>
  </si>
  <si>
    <t>Socket Head Screw, ISO 4762 M5 x 0.8 mm Thread, 10 mm Long, SS</t>
  </si>
  <si>
    <t>SPEC-625</t>
  </si>
  <si>
    <t>O-Ring 1.5x1mm, Black ,EPDM</t>
  </si>
  <si>
    <t>SPEC-1162</t>
  </si>
  <si>
    <t>4,8x280mm cable tie</t>
  </si>
  <si>
    <t>SPEC-165</t>
  </si>
  <si>
    <t>Socket Head Screw, ISO 4762, M4 x 0.7 mm Thread, 35 mm Long, SS</t>
  </si>
  <si>
    <t>SPEC-579</t>
  </si>
  <si>
    <t>Hex Socket Countersunk Head Screw, ISO 10642, M5 x 0.8 mm Thread, 20 mm Long, SS</t>
  </si>
  <si>
    <t>SPEC-545</t>
  </si>
  <si>
    <t>LA_0005 v1</t>
  </si>
  <si>
    <t>SPEC-766</t>
  </si>
  <si>
    <t>Thermal adhesive tape (1 pieza = 520 uds)</t>
  </si>
  <si>
    <t>SPEC-449</t>
  </si>
  <si>
    <t>Socket Head Screw, ISO 4762 M4 x 0.7 mm Thread, 8 mm Long, SS</t>
  </si>
  <si>
    <t>SPEC-805</t>
  </si>
  <si>
    <t>18-8 Stainless Steel Cone-Point Set Screw, M6 x 6mm Long, DIN 914</t>
  </si>
  <si>
    <t>SPEC-177</t>
  </si>
  <si>
    <t>Socket Head Screw, ISO 4762 M4 x 0.7 mm Thread, 10 mm Long, SS</t>
  </si>
  <si>
    <t>SPEC-170</t>
  </si>
  <si>
    <t>Hex Socket Countersunk Head Screw, ISO 10642, M4 x 0.7 mm Thread, 12 mm Long</t>
  </si>
  <si>
    <t>SPEC-1274</t>
  </si>
  <si>
    <t>91292A123 [Socket Head Screw, M3 x 0.5 mm Thread, 20 mm Long, SS]</t>
  </si>
  <si>
    <t>SPEC-132</t>
  </si>
  <si>
    <t>Socket head cap screw, ISO 4762 M4 x 0.7 mm Thread, 10 mm Long</t>
  </si>
  <si>
    <t>SPEC-124</t>
  </si>
  <si>
    <t>Hex countersunk head screw, ISO 10642 M5 x 0.8 mm Thread, 16 mm Long</t>
  </si>
  <si>
    <t>SPEC-192</t>
  </si>
  <si>
    <t>Countersunk Head Screw, ISO 10642, M4 x 0.7 mm Thread, 8 mm Long, SS</t>
  </si>
  <si>
    <t>SPEC-128</t>
  </si>
  <si>
    <t>Hex countersunk head screw, ISO 10642 - M4 x 0.7 mm Thread, 20 mm Long</t>
  </si>
  <si>
    <t>SPEC-596</t>
  </si>
  <si>
    <t>Flat Tip Screw, ISO 4026, DIN 913, M4 x 0.7 mm Thread, 8 mm Long, SS</t>
  </si>
  <si>
    <t>SPEC-559</t>
  </si>
  <si>
    <t>Socket Head Screw, ISO 4762 M2 x 0.4 mm Thread, 12 mm Long, SS</t>
  </si>
  <si>
    <t>SPEC-582</t>
  </si>
  <si>
    <t>Plain Washer, ISO 7089, M10, 10.5 mm ID, 20 mm OD, SS</t>
  </si>
  <si>
    <t>SPEC-400</t>
  </si>
  <si>
    <t>Socket Head Screw, ISO 4762 M5 x 0.8 mm Thread, 12 mm Long, SS</t>
  </si>
  <si>
    <t>SPEC-241</t>
  </si>
  <si>
    <t>Socket Head Screw, ISO 4762 M4 x 0.7 mm Thread, 12 mm Long, SS</t>
  </si>
  <si>
    <t>SPEC-512</t>
  </si>
  <si>
    <t>Socket Head Screw, ISO 4762 M3 x 0.5 mm Thread, 6 mm Long, SS</t>
  </si>
  <si>
    <t>SPEC-442</t>
  </si>
  <si>
    <t>O ring 2x1</t>
  </si>
  <si>
    <t>SPEC-960</t>
  </si>
  <si>
    <t>Plastic cord terminal (tapanudos)</t>
  </si>
  <si>
    <t>SPEC-297</t>
  </si>
  <si>
    <t>Socket Head Screw, ISO 4762 M5 x 0.8 mm Thread, 6 mm Long, SS</t>
  </si>
  <si>
    <t>SPEC-1059</t>
  </si>
  <si>
    <t>MP008074 [SCREW, CHEESE HEAD SLOTTED, M3, 12MM]</t>
  </si>
  <si>
    <t>SPEC-1351</t>
  </si>
  <si>
    <t>1N4148 [Switching Diode, 300mA 100V, 2-Pin DO-35]</t>
  </si>
  <si>
    <t>SPEC-917</t>
  </si>
  <si>
    <t>M3x4mm, Pozi Pan Steel Machine Screws DIN 7985</t>
  </si>
  <si>
    <t>SPEC-583</t>
  </si>
  <si>
    <t>Hex Socket Countersunk Head Screw, ISO 10642, M5 x 0.8 mm Thread, 25 mm Long, SS</t>
  </si>
  <si>
    <t>SPEC-808</t>
  </si>
  <si>
    <t>18-8 Stainless Steel Hex Drive Countersunk Head Screw, M4 x 10mm long , DIN 7991</t>
  </si>
  <si>
    <t>SPEC-585</t>
  </si>
  <si>
    <t>Oversized Washer, DIN 9021, 6.4 mm ID, 18 mm OD,SS</t>
  </si>
  <si>
    <t>SPEC-341</t>
  </si>
  <si>
    <t>Flat-tip Screw, ISO 4026 , M5 x 0.8 mm Thread, 10 mm Long, SS</t>
  </si>
  <si>
    <t>SPEC-569</t>
  </si>
  <si>
    <t>3.5x200mm Cable Tie</t>
  </si>
  <si>
    <t>SPEC-123</t>
  </si>
  <si>
    <t>Locknut, ISO 10511 - M5 x 0.8 mm Thread, 5 mm High</t>
  </si>
  <si>
    <t>SPEC-275</t>
  </si>
  <si>
    <t>Socket Head Screw, ISO 4762 M3 x 0.5 mm Thread, 12 mm Long, 18-8 SS</t>
  </si>
  <si>
    <t>SPEC-197</t>
  </si>
  <si>
    <t>Socket Head Screw, ISO 4762, M3 x 0.5 mm Thread, 25 mm Long, SS</t>
  </si>
  <si>
    <t>SPEC-614</t>
  </si>
  <si>
    <t>Slot Countersunk Head Screw, DIN 963, M2 x 0.4 mm Thread, 20 mm Long, SS</t>
  </si>
  <si>
    <t>SPEC-161</t>
  </si>
  <si>
    <t>Hex Socket Countersunk Head Screw, ISO 10642, M4 x 0.7 mm Thread, 16 mm Long, SS</t>
  </si>
  <si>
    <t>SPEC-1110</t>
  </si>
  <si>
    <t>93805A256 [Threaded Rod, DIN 976, M4 x 0.7 mm Thread Size, 16 mm Long, SS]</t>
  </si>
  <si>
    <t>SPEC-967</t>
  </si>
  <si>
    <t>Flat Tip Screw, ISO 4026, DIN 913, M4 x 0.7 mm Thread, 16 mm Long, SS</t>
  </si>
  <si>
    <t>SPEC-616</t>
  </si>
  <si>
    <t>Hex Socket Countersunk Head Screw, ISO 10642, M5 x 0.8 mm Thread, 10 mm Long, SS</t>
  </si>
  <si>
    <t>SPEC-1271</t>
  </si>
  <si>
    <t>[92125A196 Hex Drive Flat Head screw, ISO 10642, M4x0.7 mm Thread, 18 mm Long, SS]</t>
  </si>
  <si>
    <t>SPEC-626</t>
  </si>
  <si>
    <t>Hex Drive Flat Head screw, ISO 10642, M4x0.7 mm Thread, 10 mm Long, SS</t>
  </si>
  <si>
    <t>SPEC-832</t>
  </si>
  <si>
    <t>Plain Stainless Steel Hex Socket Grub Screw , DIN 916, M5 x 0.8 mm Thread x 12mm Long</t>
  </si>
  <si>
    <t>SPEC-273</t>
  </si>
  <si>
    <t>ISO 4762 M3 x 0.5 mm Thread, 16 mm Long</t>
  </si>
  <si>
    <t>SPEC-444</t>
  </si>
  <si>
    <t>Pan Head Screw, ISO 7045 M4 x 0.70 mm Thread, 6mm Long, SS</t>
  </si>
  <si>
    <t>SPEC-167</t>
  </si>
  <si>
    <t>Hex Socket Countersunk Head Screw, ISO 10642, M3 x 0.5 mm Thread, 6 mm Long, SS</t>
  </si>
  <si>
    <t>SPEC-592</t>
  </si>
  <si>
    <t>Tight-Grip External-Tooth Lock Washer,M4,DIN 6798, 4.3 mm ID, 8 mm OD,SS]</t>
  </si>
  <si>
    <t>SPEC-598</t>
  </si>
  <si>
    <t>Flat Tip Screw, ISO 4026, DIN 913, M4 x 0.7 mm Thread, 6 mm Long, SS</t>
  </si>
  <si>
    <t>SPEC-514</t>
  </si>
  <si>
    <t>Hex Socket Countersunk Head Screw, ISO 10642, M3 x 0.5 mm Thread, 10 mm Long, SS</t>
  </si>
  <si>
    <t>SPEC-172</t>
  </si>
  <si>
    <t>Hex Socket Countersunk Head Screw,ISO 10642, M3 x 0.5 mm Thread, 5 mm Long,SS</t>
  </si>
  <si>
    <t>SPEC-321</t>
  </si>
  <si>
    <t>Socket Countersunk Head Screw, ISO 10642, M3 x 0.5 mm Thread, 8 mm Long, SS</t>
  </si>
  <si>
    <t>SPEC-127</t>
  </si>
  <si>
    <t>Locknut, ISO 10511 - M4 x 0.7 mm Thread, 5 mm High</t>
  </si>
  <si>
    <t>SPEC-195</t>
  </si>
  <si>
    <t>Locknut, DIN 985, M3 x 0.5 mm Thread, 4 mm High</t>
  </si>
  <si>
    <t>SPEC-322</t>
  </si>
  <si>
    <t>Socket Head Screw, ISO 4762 M3 x 0.5 mm Thread, 8 mm Long, SS</t>
  </si>
  <si>
    <t>SPEC-771</t>
  </si>
  <si>
    <t>Oversized Washer, DIN 9021, M5, 5.3 mm ID, 15 mm OD, SS</t>
  </si>
  <si>
    <t>SPEC-194</t>
  </si>
  <si>
    <t>Socket Head Screw, ISO 4762, M3 x 0.5 mm Thread, 10 mm Long, SS</t>
  </si>
  <si>
    <t>SPEC-606</t>
  </si>
  <si>
    <t>Countersunk Washer, 5.3 mm ID, 16 mm OD, SS</t>
  </si>
  <si>
    <t>SPEC-457</t>
  </si>
  <si>
    <t>Prevailing Torque Nut, M3 x 0.5 mm Thread, 4 mm High, Class 8, Zinc Plated</t>
  </si>
  <si>
    <t>SPEC-1262</t>
  </si>
  <si>
    <t>CRGH1206J100K [ CRGH 100k?, 1206 (3216M) Thick Film SMD Resistor ±5% 0.5W]</t>
  </si>
  <si>
    <t>SPEC-795</t>
  </si>
  <si>
    <t>Flat-tip Screw, DIN 913 , M6 x 1.0 mm Thread, 10 mm Long, SS</t>
  </si>
  <si>
    <t>SPEC-517</t>
  </si>
  <si>
    <t>Prevailing torque High Nut, M6 x 1.0 mm Thread, Class 8, Zinc-Plated Steel</t>
  </si>
  <si>
    <t>SPEC-580</t>
  </si>
  <si>
    <t>Flat Washer, ISO 7093, M5, 5.3 mm ID, 15 mm OD</t>
  </si>
  <si>
    <t>SPEC-1093</t>
  </si>
  <si>
    <t>PTS-0899 [DS COPPER STRIP]</t>
  </si>
  <si>
    <t>SPEC-340</t>
  </si>
  <si>
    <t>Flat-tip Screw, DIN 913, M5 x 0.8 mm Thread, 6 mm Long, SS</t>
  </si>
  <si>
    <t>FMAT-10</t>
  </si>
  <si>
    <t>ETIQUETA 79,9x33,6 mm, radio 4, 4 agujeros Ø3mm, PP Blanco, Brillo inkjet</t>
  </si>
  <si>
    <t>SPEC-274</t>
  </si>
  <si>
    <t>Flat washer, ISO 7092 M3, 3.200 mm ID, 6 mm OD, SS</t>
  </si>
  <si>
    <t>SPEC-342</t>
  </si>
  <si>
    <t>Plain Washer, ISO 7089, M5, 5.3 mm ID, 10 mm OD, SS</t>
  </si>
  <si>
    <t>SPEC-802</t>
  </si>
  <si>
    <t>Countersunk Pozidriv head wood screw ,ø3.5, 16 mm long</t>
  </si>
  <si>
    <t>SPEC-553</t>
  </si>
  <si>
    <t>Grower washer, M4, 4.4 mm ID, 7 mm OD, SS</t>
  </si>
  <si>
    <t>SPEC-271</t>
  </si>
  <si>
    <t>Flat washer, ISO 7092, M4, 4.300 mm ID, 8 mm OD</t>
  </si>
  <si>
    <t>SPEC-556</t>
  </si>
  <si>
    <t>Grower washer, M3, 3.4 mm ID, 5.6 mm OD, SS</t>
  </si>
  <si>
    <t>SPEC-323</t>
  </si>
  <si>
    <t>Hex Nut, DIN 934, M3 x 0.5 mm Thread, Zinc-Plated, Class 8</t>
  </si>
  <si>
    <t>SPEC-872</t>
  </si>
  <si>
    <t>2.5x100mm Cable Tie</t>
  </si>
  <si>
    <t>SPEC-296</t>
  </si>
  <si>
    <t>Clevis Pin Plane Washer, ISO 7092 M5, 5.300 mm ID, 9.0 mm OD, SS</t>
  </si>
  <si>
    <t>SPEC-450</t>
  </si>
  <si>
    <t>Prevailing Torque Nut, M4 x 0.7 mm Thread, 5.3 mm High, Class 8, Zinc Plated</t>
  </si>
  <si>
    <t>SPEC-552</t>
  </si>
  <si>
    <t>Grower Washer, M5, 5.4 mm ID, 8.8 mm OD, SS</t>
  </si>
  <si>
    <t>SPEC-601</t>
  </si>
  <si>
    <t>Plain Washer, ISO 7089, M3, 3.2mm ID, 7 mm OD, SS</t>
  </si>
  <si>
    <t>SPEC-1096</t>
  </si>
  <si>
    <t>PTS-1218 [MHR DS-B INSULATOR SPACER]</t>
  </si>
  <si>
    <t>SPEC-1090</t>
  </si>
  <si>
    <t>PTS-0184 [DS POLE]</t>
  </si>
  <si>
    <t>OF</t>
  </si>
  <si>
    <t>Status OF</t>
  </si>
  <si>
    <t>Código Artículo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</si>
  <si>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</si>
  <si>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</si>
  <si>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</si>
  <si>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</si>
  <si>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</si>
  <si>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</si>
  <si>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</si>
  <si>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</si>
  <si>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SPEC-1307</t>
  </si>
  <si>
    <t>UMBILICAL AHR COMPLETE ASSEMBLY</t>
  </si>
  <si>
    <t>SPEC-854_c</t>
  </si>
  <si>
    <t>Quad-810-b Laserhead, capillary</t>
  </si>
  <si>
    <t>SPEC-853_C</t>
  </si>
  <si>
    <t>Dual-810-b Laserhead, capillary</t>
  </si>
  <si>
    <t>LT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</si>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</sst>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8"/>
      <color rgb="FFFDFDFD"/>
      <name val="Montserrat"/>
    </font>
    <font>
      <b/>
      <sz val="8"/>
      <color theme="0"/>
      <name val="Montserrat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5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A8C"/>
        <bgColor indexed="64"/>
      </patternFill>
    </fill>
    <fill>
      <patternFill patternType="solid">
        <fgColor rgb="FFD49D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FF00"/>
        <bgColor rgb="FF00FF00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13">
    <xf numFmtId="0" fontId="0" fillId="0" borderId="0" xfId="0"/>
    <xf numFmtId="43" fontId="2" fillId="2" borderId="1" xfId="1" applyFont="1" applyFill="1" applyBorder="1" applyAlignment="1">
      <alignment horizontal="left" vertical="center" readingOrder="1"/>
    </xf>
    <xf numFmtId="43" fontId="3" fillId="3" borderId="2" xfId="1" applyFont="1" applyFill="1" applyBorder="1"/>
    <xf numFmtId="43" fontId="2" fillId="2" borderId="0" xfId="1" applyFont="1" applyFill="1" applyBorder="1" applyAlignment="1">
      <alignment horizontal="left" vertical="center" readingOrder="1"/>
    </xf>
    <xf numFmtId="0" fontId="4" fillId="0" borderId="3" xfId="0" applyFont="1" applyBorder="1"/>
    <xf numFmtId="164" fontId="0" fillId="0" borderId="0" xfId="0" applyNumberFormat="1"/>
    <xf numFmtId="43" fontId="0" fillId="0" borderId="0" xfId="1" applyFont="1"/>
    <xf numFmtId="4" fontId="4" fillId="0" borderId="3" xfId="0" applyNumberFormat="1" applyFont="1" applyBorder="1"/>
    <xf numFmtId="0" fontId="6" fillId="4" borderId="3" xfId="2" applyFont="1" applyFill="1" applyBorder="1"/>
    <xf numFmtId="0" fontId="7" fillId="0" borderId="3" xfId="2" applyFont="1" applyBorder="1"/>
    <xf numFmtId="0" fontId="5" fillId="0" borderId="0" xfId="2"/>
    <xf numFmtId="0" fontId="7" fillId="0" borderId="0" xfId="2" applyFont="1"/>
    <xf numFmtId="4" fontId="7" fillId="5" borderId="0" xfId="2" applyNumberFormat="1" applyFont="1" applyFill="1"/>
  </cellXfs>
  <cellStyles count="3">
    <cellStyle name="Comma" xfId="1" builtinId="3"/>
    <cellStyle name="Normal" xfId="0" builtinId="0"/>
    <cellStyle name="Normal 11" xfId="2" xr:uid="{8ECD41CB-CF1D-4D24-BEC6-14ADA3D360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leja/AppData/Local/Microsoft/Olk/Attachments/ooa-d3e043c6-0bbc-4180-b207-727e6fd50cb1/1d9f71db42c1e6b18ccf87e81622d1bb245014860278196015b1e3aa4727df1f/c&#225;lculo%20para%20n&#186;%20de%20equipos%20(Alejandro).xlsx" TargetMode="External"/><Relationship Id="rId2" Type="http://schemas.openxmlformats.org/officeDocument/2006/relationships/externalLinkPath" Target="file:///C:\Users\aleja\AppData\Local\Microsoft\Olk\Attachments\ooa-d3e043c6-0bbc-4180-b207-727e6fd50cb1\1d9f71db42c1e6b18ccf87e81622d1bb245014860278196015b1e3aa4727df1f\c&#225;lculo%20para%20n&#186;%20de%20equipos%20(Alejandro).xlsx" TargetMode="External"/><Relationship Id="rId1" Type="http://schemas.openxmlformats.org/officeDocument/2006/relationships/externalLinkPath" Target="/Users/aleja/AppData/Local/Microsoft/Olk/Attachments/ooa-d3e043c6-0bbc-4180-b207-727e6fd50cb1/1d9f71db42c1e6b18ccf87e81622d1bb245014860278196015b1e3aa4727df1f/c&#225;lculo%20para%20n&#186;%20de%20equipos%20(Alejandro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  <sheetName val="Hoja 1"/>
    </sheetNames>
    <sheetDataSet>
      <sheetData sheetId="0"/>
      <sheetData sheetId="1">
        <row r="1">
          <cell r="B1" t="str">
            <v>SPEC</v>
          </cell>
          <cell r="C1" t="str">
            <v>DESCRIPCIÓN</v>
          </cell>
          <cell r="D1" t="str">
            <v>CANTIDAD EN STOCK (a día 09-02-2026)</v>
          </cell>
          <cell r="E1" t="str">
            <v>PEDIDOS EMITIDOS EN CURSO</v>
          </cell>
          <cell r="F1" t="str">
            <v>UDS POR EQUIPO</v>
          </cell>
          <cell r="G1" t="str">
            <v>Equipos</v>
          </cell>
          <cell r="H1" t="str">
            <v>PROVEEDOR</v>
          </cell>
        </row>
        <row r="2">
          <cell r="B2" t="str">
            <v>SPEC-736</v>
          </cell>
          <cell r="C2" t="str">
            <v>Monocrom Laser Diode, 20 bars, 810 nm, 200A, 4000W</v>
          </cell>
          <cell r="D2">
            <v>103</v>
          </cell>
          <cell r="F2">
            <v>1</v>
          </cell>
          <cell r="G2">
            <v>103</v>
          </cell>
          <cell r="H2" t="str">
            <v>MONOCROM</v>
          </cell>
        </row>
        <row r="3">
          <cell r="B3" t="str">
            <v>SPEC-903</v>
          </cell>
          <cell r="C3" t="str">
            <v>Monocrom Laser Diode, 20 bars, 810 nm , 200A, 4000W</v>
          </cell>
          <cell r="D3">
            <v>16</v>
          </cell>
          <cell r="F3">
            <v>1</v>
          </cell>
          <cell r="G3">
            <v>16</v>
          </cell>
          <cell r="H3" t="str">
            <v>MONOCROM</v>
          </cell>
        </row>
        <row r="4">
          <cell r="B4" t="str">
            <v>SPEC-32</v>
          </cell>
          <cell r="C4" t="str">
            <v>MHR-b Caliport back cover - Color RAL 7012</v>
          </cell>
          <cell r="D4">
            <v>347</v>
          </cell>
          <cell r="F4">
            <v>1</v>
          </cell>
          <cell r="G4">
            <v>347</v>
          </cell>
          <cell r="H4" t="str">
            <v>DONGGUAN</v>
          </cell>
        </row>
        <row r="5">
          <cell r="B5" t="str">
            <v>SPEC-37</v>
          </cell>
          <cell r="C5" t="str">
            <v>MHR-b CaliSingle Body</v>
          </cell>
          <cell r="D5">
            <v>115</v>
          </cell>
          <cell r="F5">
            <v>1</v>
          </cell>
          <cell r="G5">
            <v>115</v>
          </cell>
          <cell r="H5" t="str">
            <v>DONGGUAN</v>
          </cell>
        </row>
        <row r="6">
          <cell r="B6" t="str">
            <v>SPEC-38</v>
          </cell>
          <cell r="C6" t="str">
            <v>MHR-b CaliDual Body</v>
          </cell>
          <cell r="D6">
            <v>357</v>
          </cell>
          <cell r="F6">
            <v>1</v>
          </cell>
          <cell r="G6">
            <v>357</v>
          </cell>
          <cell r="H6" t="str">
            <v>DONGGUAN</v>
          </cell>
        </row>
        <row r="7">
          <cell r="B7" t="str">
            <v>SPEC-39</v>
          </cell>
          <cell r="C7" t="str">
            <v>MHR-b CaliQuad Body</v>
          </cell>
          <cell r="D7">
            <v>502</v>
          </cell>
          <cell r="F7">
            <v>1</v>
          </cell>
          <cell r="G7">
            <v>502</v>
          </cell>
          <cell r="H7" t="str">
            <v>DONGGUAN</v>
          </cell>
        </row>
        <row r="8">
          <cell r="B8" t="str">
            <v>SPEC-205</v>
          </cell>
          <cell r="C8" t="str">
            <v>b touch protector</v>
          </cell>
          <cell r="D8">
            <v>175</v>
          </cell>
          <cell r="F8">
            <v>1</v>
          </cell>
          <cell r="G8">
            <v>175</v>
          </cell>
          <cell r="H8" t="str">
            <v>DONGGUAN</v>
          </cell>
        </row>
        <row r="9">
          <cell r="B9" t="str">
            <v>SPEC-27</v>
          </cell>
          <cell r="C9" t="str">
            <v>Cover, Silentblocks (Color RAL 7012)</v>
          </cell>
          <cell r="D9">
            <v>390</v>
          </cell>
          <cell r="E9">
            <v>477</v>
          </cell>
          <cell r="F9">
            <v>4</v>
          </cell>
          <cell r="G9">
            <v>97.5</v>
          </cell>
          <cell r="H9" t="str">
            <v>DONGGUAN</v>
          </cell>
        </row>
        <row r="10">
          <cell r="B10" t="str">
            <v>SPEC-31</v>
          </cell>
          <cell r="C10" t="str">
            <v>MHR-b caliport housing</v>
          </cell>
          <cell r="D10">
            <v>173</v>
          </cell>
          <cell r="F10">
            <v>1</v>
          </cell>
          <cell r="G10">
            <v>173</v>
          </cell>
          <cell r="H10" t="str">
            <v>DONGGUAN</v>
          </cell>
        </row>
        <row r="11">
          <cell r="B11" t="str">
            <v>SPEC-70</v>
          </cell>
          <cell r="C11" t="str">
            <v>CPU Heatsink</v>
          </cell>
          <cell r="D11">
            <v>184</v>
          </cell>
          <cell r="F11">
            <v>1</v>
          </cell>
          <cell r="G11">
            <v>184</v>
          </cell>
          <cell r="H11" t="str">
            <v>DONGGUAN</v>
          </cell>
        </row>
        <row r="12">
          <cell r="B12" t="str">
            <v>SPEC-796</v>
          </cell>
          <cell r="C12" t="str">
            <v>Cap 1 tube-b</v>
          </cell>
          <cell r="D12">
            <v>337</v>
          </cell>
          <cell r="F12">
            <v>1</v>
          </cell>
          <cell r="G12">
            <v>337</v>
          </cell>
          <cell r="H12" t="str">
            <v>DONGGUAN</v>
          </cell>
        </row>
        <row r="13">
          <cell r="B13" t="str">
            <v>SPEC-798</v>
          </cell>
          <cell r="C13" t="str">
            <v>Cap 4 tubes-b</v>
          </cell>
          <cell r="D13">
            <v>191</v>
          </cell>
          <cell r="E13">
            <v>150</v>
          </cell>
          <cell r="F13">
            <v>1</v>
          </cell>
          <cell r="G13">
            <v>191</v>
          </cell>
          <cell r="H13" t="str">
            <v>DONGGUAN</v>
          </cell>
        </row>
        <row r="14">
          <cell r="B14" t="str">
            <v>SPEC-794</v>
          </cell>
          <cell r="C14" t="str">
            <v>Painted Hanger Port Spacer (SPEC-26 pintado)</v>
          </cell>
          <cell r="D14">
            <v>91</v>
          </cell>
          <cell r="E14">
            <v>419</v>
          </cell>
          <cell r="F14">
            <v>2</v>
          </cell>
          <cell r="G14">
            <v>45.5</v>
          </cell>
          <cell r="H14" t="str">
            <v>DONGGUAN</v>
          </cell>
        </row>
        <row r="15">
          <cell r="B15" t="str">
            <v>SPEC-698</v>
          </cell>
          <cell r="C15" t="str">
            <v>Dual-b, capillary mirar tb 701 y 841</v>
          </cell>
          <cell r="D15">
            <v>209</v>
          </cell>
          <cell r="E15">
            <v>100</v>
          </cell>
          <cell r="F15">
            <v>1</v>
          </cell>
          <cell r="G15">
            <v>209</v>
          </cell>
          <cell r="H15" t="str">
            <v>DONGGUAN</v>
          </cell>
        </row>
        <row r="16">
          <cell r="B16" t="str">
            <v>SPEC-703</v>
          </cell>
          <cell r="C16" t="str">
            <v>Quad-b, capillary mirar tb 705 y 842</v>
          </cell>
          <cell r="D16">
            <v>161</v>
          </cell>
          <cell r="E16">
            <v>50</v>
          </cell>
          <cell r="F16">
            <v>1</v>
          </cell>
          <cell r="G16">
            <v>161</v>
          </cell>
          <cell r="H16" t="str">
            <v>DONGGUAN</v>
          </cell>
        </row>
        <row r="17">
          <cell r="B17" t="str">
            <v>SPEC-927</v>
          </cell>
          <cell r="C17" t="str">
            <v>Single-b 2024, capillary mirar tb 928 y 943</v>
          </cell>
          <cell r="D17">
            <v>73</v>
          </cell>
          <cell r="F17">
            <v>1</v>
          </cell>
          <cell r="G17">
            <v>73</v>
          </cell>
          <cell r="H17" t="str">
            <v>DONGGUAN</v>
          </cell>
        </row>
        <row r="18">
          <cell r="B18" t="str">
            <v>SPEC-30</v>
          </cell>
          <cell r="C18" t="str">
            <v>HP Hanger clip</v>
          </cell>
          <cell r="D18">
            <v>237</v>
          </cell>
          <cell r="E18">
            <v>100</v>
          </cell>
          <cell r="F18">
            <v>1</v>
          </cell>
          <cell r="G18">
            <v>237</v>
          </cell>
          <cell r="H18" t="str">
            <v>DONGGUAN</v>
          </cell>
        </row>
        <row r="19">
          <cell r="B19" t="str">
            <v>SPEC-33</v>
          </cell>
          <cell r="C19" t="str">
            <v>Hanger Port L</v>
          </cell>
          <cell r="D19">
            <v>230</v>
          </cell>
          <cell r="E19">
            <v>100</v>
          </cell>
          <cell r="F19">
            <v>1</v>
          </cell>
          <cell r="G19">
            <v>230</v>
          </cell>
          <cell r="H19" t="str">
            <v>DONGGUAN</v>
          </cell>
        </row>
        <row r="20">
          <cell r="B20" t="str">
            <v>SPEC-937</v>
          </cell>
          <cell r="C20" t="str">
            <v>MHR-b Umbilical strain relief support</v>
          </cell>
          <cell r="D20">
            <v>101</v>
          </cell>
          <cell r="E20">
            <v>200</v>
          </cell>
          <cell r="F20">
            <v>1</v>
          </cell>
          <cell r="G20">
            <v>101</v>
          </cell>
          <cell r="H20" t="str">
            <v>DONGGUAN</v>
          </cell>
        </row>
        <row r="21">
          <cell r="B21" t="str">
            <v>SPEC-35</v>
          </cell>
          <cell r="C21" t="str">
            <v>MHR-b Umbilical Ferrule</v>
          </cell>
          <cell r="D21">
            <v>115</v>
          </cell>
          <cell r="E21">
            <v>480</v>
          </cell>
          <cell r="F21">
            <v>1</v>
          </cell>
          <cell r="G21">
            <v>115</v>
          </cell>
          <cell r="H21" t="str">
            <v>DONGGUAN</v>
          </cell>
        </row>
        <row r="22">
          <cell r="B22" t="str">
            <v>SPEC-36</v>
          </cell>
          <cell r="C22" t="str">
            <v>b - HP connector enclosure x4 (HARTBASE)</v>
          </cell>
          <cell r="D22">
            <v>93</v>
          </cell>
          <cell r="E22">
            <v>514</v>
          </cell>
          <cell r="F22">
            <v>1</v>
          </cell>
          <cell r="G22">
            <v>93</v>
          </cell>
          <cell r="H22" t="str">
            <v>DONGGUAN</v>
          </cell>
        </row>
        <row r="23">
          <cell r="B23" t="str">
            <v>SPEC-923</v>
          </cell>
          <cell r="C23" t="str">
            <v>Umbilical strain relief</v>
          </cell>
          <cell r="D23">
            <v>149</v>
          </cell>
          <cell r="E23">
            <v>320</v>
          </cell>
          <cell r="F23">
            <v>1</v>
          </cell>
          <cell r="G23">
            <v>149</v>
          </cell>
          <cell r="H23" t="str">
            <v>DONGGUAN</v>
          </cell>
        </row>
        <row r="24">
          <cell r="B24" t="str">
            <v>SPEC-151</v>
          </cell>
          <cell r="C24" t="str">
            <v>PCB Control Board</v>
          </cell>
          <cell r="D24">
            <v>76</v>
          </cell>
          <cell r="E24">
            <v>480</v>
          </cell>
          <cell r="F24">
            <v>1</v>
          </cell>
          <cell r="G24">
            <v>76</v>
          </cell>
          <cell r="H24" t="str">
            <v>NOROESTE</v>
          </cell>
        </row>
        <row r="25">
          <cell r="B25" t="str">
            <v>SPEC-152</v>
          </cell>
          <cell r="C25" t="str">
            <v>PCBA Modular Ir Sensor</v>
          </cell>
          <cell r="D25">
            <v>289</v>
          </cell>
          <cell r="E25">
            <v>960</v>
          </cell>
          <cell r="F25">
            <v>1</v>
          </cell>
          <cell r="G25">
            <v>289</v>
          </cell>
          <cell r="H25" t="str">
            <v>NOROESTE</v>
          </cell>
        </row>
        <row r="26">
          <cell r="B26" t="str">
            <v>SPEC-148</v>
          </cell>
          <cell r="C26" t="str">
            <v>PCBA MHR-b Capcharger</v>
          </cell>
          <cell r="D26">
            <v>225</v>
          </cell>
          <cell r="E26">
            <v>320</v>
          </cell>
          <cell r="F26">
            <v>1</v>
          </cell>
          <cell r="G26">
            <v>225</v>
          </cell>
          <cell r="H26" t="str">
            <v>NOROESTE</v>
          </cell>
        </row>
        <row r="27">
          <cell r="B27" t="str">
            <v>SPEC-149</v>
          </cell>
          <cell r="C27" t="str">
            <v>PCBA MHR-b Mainboard</v>
          </cell>
          <cell r="D27">
            <v>107</v>
          </cell>
          <cell r="E27">
            <v>480</v>
          </cell>
          <cell r="F27">
            <v>1</v>
          </cell>
          <cell r="G27">
            <v>107</v>
          </cell>
          <cell r="H27" t="str">
            <v>NOROESTE</v>
          </cell>
        </row>
        <row r="28">
          <cell r="B28" t="str">
            <v>SPEC-153</v>
          </cell>
          <cell r="C28" t="str">
            <v>PCBA MHR-b HP trigger</v>
          </cell>
          <cell r="D28">
            <v>348</v>
          </cell>
          <cell r="E28">
            <v>480</v>
          </cell>
          <cell r="F28">
            <v>1</v>
          </cell>
          <cell r="G28">
            <v>348</v>
          </cell>
          <cell r="H28" t="str">
            <v>NOROESTE</v>
          </cell>
        </row>
        <row r="29">
          <cell r="B29" t="str">
            <v>SPEC-154</v>
          </cell>
          <cell r="C29" t="str">
            <v>PCBA MHR-b HP Main</v>
          </cell>
          <cell r="D29">
            <v>511</v>
          </cell>
          <cell r="E29">
            <v>480</v>
          </cell>
          <cell r="F29">
            <v>1</v>
          </cell>
          <cell r="G29">
            <v>511</v>
          </cell>
          <cell r="H29" t="str">
            <v>NOROESTE</v>
          </cell>
        </row>
        <row r="30">
          <cell r="B30" t="str">
            <v>SPEC-155</v>
          </cell>
          <cell r="C30" t="str">
            <v>PCBA MHR-b Caliport socket</v>
          </cell>
          <cell r="D30">
            <v>396</v>
          </cell>
          <cell r="E30">
            <v>480</v>
          </cell>
          <cell r="F30">
            <v>1</v>
          </cell>
          <cell r="G30">
            <v>396</v>
          </cell>
          <cell r="H30" t="str">
            <v>NOROESTE</v>
          </cell>
        </row>
        <row r="31">
          <cell r="B31" t="str">
            <v>SPEC-156</v>
          </cell>
          <cell r="C31" t="str">
            <v>PCBA MHR-b Caliport</v>
          </cell>
          <cell r="D31">
            <v>259</v>
          </cell>
          <cell r="E31">
            <v>2160</v>
          </cell>
          <cell r="F31">
            <v>1</v>
          </cell>
          <cell r="G31">
            <v>259</v>
          </cell>
          <cell r="H31" t="str">
            <v>NOROESTE</v>
          </cell>
        </row>
        <row r="32">
          <cell r="B32" t="str">
            <v>SPEC-157</v>
          </cell>
          <cell r="C32" t="str">
            <v>PCBA MHR-b PS Relay</v>
          </cell>
          <cell r="D32">
            <v>334</v>
          </cell>
          <cell r="E32">
            <v>320</v>
          </cell>
          <cell r="F32">
            <v>1</v>
          </cell>
          <cell r="G32">
            <v>334</v>
          </cell>
          <cell r="H32" t="str">
            <v>NOROESTE</v>
          </cell>
        </row>
        <row r="33">
          <cell r="B33" t="str">
            <v>SPEC-907</v>
          </cell>
          <cell r="C33" t="str">
            <v>PCB Buzzer Board Leaseir MHR Xcell</v>
          </cell>
          <cell r="D33">
            <v>126</v>
          </cell>
          <cell r="E33">
            <v>480</v>
          </cell>
          <cell r="F33">
            <v>1</v>
          </cell>
          <cell r="G33">
            <v>126</v>
          </cell>
          <cell r="H33" t="str">
            <v>NOROESTE</v>
          </cell>
        </row>
        <row r="34">
          <cell r="B34" t="str">
            <v>SPEC-318</v>
          </cell>
          <cell r="C34" t="str">
            <v>CA MODULAR IR SENSOR</v>
          </cell>
          <cell r="D34">
            <v>630</v>
          </cell>
          <cell r="E34">
            <v>300</v>
          </cell>
          <cell r="F34">
            <v>1</v>
          </cell>
          <cell r="G34">
            <v>630</v>
          </cell>
          <cell r="H34" t="str">
            <v>NOROESTE/BMA</v>
          </cell>
        </row>
        <row r="35">
          <cell r="B35" t="str">
            <v>SPEC-338</v>
          </cell>
          <cell r="C35" t="str">
            <v>CA CONSOLE MODULAR CONNECTOR</v>
          </cell>
          <cell r="D35">
            <v>46</v>
          </cell>
          <cell r="E35">
            <v>100</v>
          </cell>
          <cell r="F35">
            <v>1</v>
          </cell>
          <cell r="G35">
            <v>46</v>
          </cell>
          <cell r="H35" t="str">
            <v>NOROESTE/BMA</v>
          </cell>
        </row>
        <row r="36">
          <cell r="B36" t="str">
            <v>SPEC-339</v>
          </cell>
          <cell r="C36" t="str">
            <v>CA AC MAINS</v>
          </cell>
          <cell r="D36">
            <v>29</v>
          </cell>
          <cell r="E36">
            <v>100</v>
          </cell>
          <cell r="F36">
            <v>1</v>
          </cell>
          <cell r="G36">
            <v>29</v>
          </cell>
          <cell r="H36" t="str">
            <v>NOROESTE/BMA</v>
          </cell>
        </row>
        <row r="37">
          <cell r="B37" t="str">
            <v>SPEC-347</v>
          </cell>
          <cell r="C37" t="str">
            <v>CA 48VDC PS OUTPUT</v>
          </cell>
          <cell r="D37">
            <v>31</v>
          </cell>
          <cell r="E37">
            <v>100</v>
          </cell>
          <cell r="F37">
            <v>1</v>
          </cell>
          <cell r="G37">
            <v>31</v>
          </cell>
          <cell r="H37" t="str">
            <v>NOROESTE/BMA</v>
          </cell>
        </row>
        <row r="38">
          <cell r="B38" t="str">
            <v>SPEC-348</v>
          </cell>
          <cell r="C38" t="str">
            <v>CA STOP SWITCH</v>
          </cell>
          <cell r="D38">
            <v>13</v>
          </cell>
          <cell r="E38">
            <v>100</v>
          </cell>
          <cell r="F38">
            <v>1</v>
          </cell>
          <cell r="G38">
            <v>13</v>
          </cell>
          <cell r="H38" t="str">
            <v>NOROESTE/BMA</v>
          </cell>
        </row>
        <row r="39">
          <cell r="B39" t="str">
            <v>SPEC-373</v>
          </cell>
          <cell r="C39" t="str">
            <v>CA KEYSWITCH</v>
          </cell>
          <cell r="D39">
            <v>27</v>
          </cell>
          <cell r="E39">
            <v>100</v>
          </cell>
          <cell r="F39">
            <v>1</v>
          </cell>
          <cell r="G39">
            <v>27</v>
          </cell>
          <cell r="H39" t="str">
            <v>NOROESTE/BMA</v>
          </cell>
        </row>
        <row r="40">
          <cell r="B40" t="str">
            <v>SPEC-374</v>
          </cell>
          <cell r="C40" t="str">
            <v>CA EMBEDDED 12VDC + UART</v>
          </cell>
          <cell r="D40">
            <v>32</v>
          </cell>
          <cell r="E40">
            <v>100</v>
          </cell>
          <cell r="F40">
            <v>1</v>
          </cell>
          <cell r="G40">
            <v>32</v>
          </cell>
          <cell r="H40" t="str">
            <v>NOROESTE/BMA</v>
          </cell>
        </row>
        <row r="41">
          <cell r="B41" t="str">
            <v>SPEC-375</v>
          </cell>
          <cell r="C41" t="str">
            <v>CA CHILLER ENABLE</v>
          </cell>
          <cell r="D41">
            <v>32</v>
          </cell>
          <cell r="E41">
            <v>100</v>
          </cell>
          <cell r="F41">
            <v>1</v>
          </cell>
          <cell r="G41">
            <v>32</v>
          </cell>
          <cell r="H41" t="str">
            <v>NOROESTE/BMA</v>
          </cell>
        </row>
        <row r="42">
          <cell r="B42" t="str">
            <v>SPEC-377</v>
          </cell>
          <cell r="C42" t="str">
            <v>CA 12VDC CHARGER BOARD</v>
          </cell>
          <cell r="D42">
            <v>72</v>
          </cell>
          <cell r="E42">
            <v>100</v>
          </cell>
          <cell r="F42">
            <v>1</v>
          </cell>
          <cell r="G42">
            <v>72</v>
          </cell>
          <cell r="H42" t="str">
            <v>NOROESTE/BMA</v>
          </cell>
        </row>
        <row r="43">
          <cell r="B43" t="str">
            <v>SPEC-378</v>
          </cell>
          <cell r="C43" t="str">
            <v>CA MOSFET GATE</v>
          </cell>
          <cell r="D43">
            <v>83</v>
          </cell>
          <cell r="E43">
            <v>100</v>
          </cell>
          <cell r="F43">
            <v>1</v>
          </cell>
          <cell r="G43">
            <v>83</v>
          </cell>
          <cell r="H43" t="str">
            <v>NOROESTE/BMA</v>
          </cell>
        </row>
        <row r="44">
          <cell r="B44" t="str">
            <v>SPEC-379</v>
          </cell>
          <cell r="C44" t="str">
            <v>CA 12-24VDC INPUT MAINBOARD</v>
          </cell>
          <cell r="D44">
            <v>34</v>
          </cell>
          <cell r="E44">
            <v>100</v>
          </cell>
          <cell r="F44">
            <v>1</v>
          </cell>
          <cell r="G44">
            <v>34</v>
          </cell>
          <cell r="H44" t="str">
            <v>NOROESTE/BMA</v>
          </cell>
        </row>
        <row r="45">
          <cell r="B45" t="str">
            <v>SPEC-380</v>
          </cell>
          <cell r="C45" t="str">
            <v>CA PS INPUT</v>
          </cell>
          <cell r="D45">
            <v>34</v>
          </cell>
          <cell r="E45">
            <v>100</v>
          </cell>
          <cell r="F45">
            <v>1</v>
          </cell>
          <cell r="G45">
            <v>34</v>
          </cell>
          <cell r="H45" t="str">
            <v>NOROESTE/BMA</v>
          </cell>
        </row>
        <row r="46">
          <cell r="B46" t="str">
            <v>SPEC-381</v>
          </cell>
          <cell r="C46" t="str">
            <v>CA CAPACITOR CHARGE</v>
          </cell>
          <cell r="D46">
            <v>34</v>
          </cell>
          <cell r="E46">
            <v>100</v>
          </cell>
          <cell r="F46">
            <v>1</v>
          </cell>
          <cell r="G46">
            <v>34</v>
          </cell>
          <cell r="H46" t="str">
            <v>NOROESTE/BMA</v>
          </cell>
        </row>
        <row r="47">
          <cell r="B47" t="str">
            <v>SPEC-384</v>
          </cell>
          <cell r="C47" t="str">
            <v>CA PHOTODIODES</v>
          </cell>
          <cell r="D47">
            <v>75</v>
          </cell>
          <cell r="E47">
            <v>100</v>
          </cell>
          <cell r="F47">
            <v>1</v>
          </cell>
          <cell r="G47">
            <v>75</v>
          </cell>
          <cell r="H47" t="str">
            <v>NOROESTE/BMA</v>
          </cell>
        </row>
        <row r="48">
          <cell r="B48" t="str">
            <v>SPEC-386</v>
          </cell>
          <cell r="C48" t="str">
            <v>CA TOUCH CONTROLLER</v>
          </cell>
          <cell r="D48">
            <v>59</v>
          </cell>
          <cell r="E48">
            <v>100</v>
          </cell>
          <cell r="F48">
            <v>1</v>
          </cell>
          <cell r="G48">
            <v>59</v>
          </cell>
          <cell r="H48" t="str">
            <v>NOROESTE/BMA</v>
          </cell>
        </row>
        <row r="49">
          <cell r="B49" t="str">
            <v>SPEC-387</v>
          </cell>
          <cell r="C49" t="str">
            <v>CA EXTENSION (VALVES,SENSOR NTC)</v>
          </cell>
          <cell r="D49">
            <v>27</v>
          </cell>
          <cell r="E49">
            <v>100</v>
          </cell>
          <cell r="F49">
            <v>1</v>
          </cell>
          <cell r="G49">
            <v>27</v>
          </cell>
          <cell r="H49" t="str">
            <v>NOROESTE/BMA</v>
          </cell>
        </row>
        <row r="50">
          <cell r="B50" t="str">
            <v>SPEC-389</v>
          </cell>
          <cell r="C50" t="str">
            <v>CA AC COOLING UNIT (FILTER INPUT, COMPRESSOR)</v>
          </cell>
          <cell r="D50">
            <v>31</v>
          </cell>
          <cell r="E50">
            <v>100</v>
          </cell>
          <cell r="F50">
            <v>1</v>
          </cell>
          <cell r="G50">
            <v>31</v>
          </cell>
          <cell r="H50" t="str">
            <v>NOROESTE/BMA</v>
          </cell>
        </row>
        <row r="51">
          <cell r="B51" t="str">
            <v>SPEC-390</v>
          </cell>
          <cell r="C51" t="str">
            <v>CA AC COOLING UNIT (FILTER LOAD, RELAY INPUT)</v>
          </cell>
          <cell r="D51">
            <v>34</v>
          </cell>
          <cell r="E51">
            <v>100</v>
          </cell>
          <cell r="F51">
            <v>1</v>
          </cell>
          <cell r="G51">
            <v>34</v>
          </cell>
          <cell r="H51" t="str">
            <v>NOROESTE/BMA</v>
          </cell>
        </row>
        <row r="52">
          <cell r="B52" t="str">
            <v>SPEC-391</v>
          </cell>
          <cell r="C52" t="str">
            <v>CA AC COOLING UNIT (FILTER OUTPUT, COMPRESSOR OUTPUT AND CHILLER FAN)</v>
          </cell>
          <cell r="D52">
            <v>34</v>
          </cell>
          <cell r="E52">
            <v>100</v>
          </cell>
          <cell r="F52">
            <v>1</v>
          </cell>
          <cell r="G52">
            <v>34</v>
          </cell>
          <cell r="H52" t="str">
            <v>NOROESTE/BMA</v>
          </cell>
        </row>
        <row r="53">
          <cell r="B53" t="str">
            <v>SPEC-392</v>
          </cell>
          <cell r="C53" t="str">
            <v>CA VALVES AND PUMP CONTROL RELAY</v>
          </cell>
          <cell r="D53">
            <v>26</v>
          </cell>
          <cell r="E53">
            <v>100</v>
          </cell>
          <cell r="F53">
            <v>1</v>
          </cell>
          <cell r="G53">
            <v>26</v>
          </cell>
          <cell r="H53" t="str">
            <v>NOROESTE/BMA</v>
          </cell>
        </row>
        <row r="54">
          <cell r="B54" t="str">
            <v>SPEC-571</v>
          </cell>
          <cell r="C54" t="str">
            <v>CA EXTENSION SENSOR NTC</v>
          </cell>
          <cell r="D54">
            <v>35</v>
          </cell>
          <cell r="E54">
            <v>100</v>
          </cell>
          <cell r="F54">
            <v>1</v>
          </cell>
          <cell r="G54">
            <v>35</v>
          </cell>
          <cell r="H54" t="str">
            <v>NOROESTE/BMA</v>
          </cell>
        </row>
        <row r="55">
          <cell r="B55" t="str">
            <v>SPEC-116</v>
          </cell>
          <cell r="C55" t="str">
            <v>MIO-2263E-S3A1E</v>
          </cell>
          <cell r="D55">
            <v>338</v>
          </cell>
          <cell r="E55">
            <v>190</v>
          </cell>
          <cell r="F55">
            <v>1</v>
          </cell>
          <cell r="G55">
            <v>338</v>
          </cell>
          <cell r="H55" t="str">
            <v>ADVANTECH</v>
          </cell>
        </row>
        <row r="56">
          <cell r="B56" t="str">
            <v>SPEC-99</v>
          </cell>
          <cell r="C56" t="str">
            <v>Touchscreen - IDK-1115R-50XGA1</v>
          </cell>
          <cell r="D56">
            <v>177</v>
          </cell>
          <cell r="E56">
            <v>190</v>
          </cell>
          <cell r="F56">
            <v>1</v>
          </cell>
          <cell r="G56">
            <v>177</v>
          </cell>
          <cell r="H56" t="str">
            <v>ADVANTECH</v>
          </cell>
        </row>
        <row r="57">
          <cell r="B57" t="str">
            <v>SPEC-660</v>
          </cell>
          <cell r="C57" t="str">
            <v>Advantech -SQF-SHMM2-64G-S9C</v>
          </cell>
          <cell r="D57">
            <v>165</v>
          </cell>
          <cell r="E57">
            <v>190</v>
          </cell>
          <cell r="F57">
            <v>1</v>
          </cell>
          <cell r="G57">
            <v>165</v>
          </cell>
          <cell r="H57" t="str">
            <v>ADVANTECH</v>
          </cell>
        </row>
        <row r="58">
          <cell r="B58" t="str">
            <v>SPEC-755</v>
          </cell>
          <cell r="C58" t="str">
            <v>Win 10 IoT Ent 2019 LTSC Entry</v>
          </cell>
          <cell r="D58">
            <v>244</v>
          </cell>
          <cell r="E58">
            <v>260</v>
          </cell>
          <cell r="F58">
            <v>1</v>
          </cell>
          <cell r="G58">
            <v>244</v>
          </cell>
          <cell r="H58" t="str">
            <v>ADVANTECH</v>
          </cell>
        </row>
        <row r="59">
          <cell r="B59" t="str">
            <v>SPEC-783</v>
          </cell>
          <cell r="C59" t="str">
            <v>4G SO-DDR3-1600 RAM Memory</v>
          </cell>
          <cell r="D59">
            <v>176</v>
          </cell>
          <cell r="E59">
            <v>566</v>
          </cell>
          <cell r="F59">
            <v>1</v>
          </cell>
          <cell r="G59">
            <v>176</v>
          </cell>
          <cell r="H59" t="str">
            <v>ADVANTECH</v>
          </cell>
        </row>
        <row r="60">
          <cell r="B60" t="str">
            <v>SPEC-142</v>
          </cell>
          <cell r="C60" t="str">
            <v>Hailea - HC500A - 230V</v>
          </cell>
          <cell r="D60">
            <v>40</v>
          </cell>
          <cell r="F60">
            <v>1</v>
          </cell>
          <cell r="G60">
            <v>40</v>
          </cell>
          <cell r="H60" t="str">
            <v>AQ-ARIUM</v>
          </cell>
        </row>
        <row r="61">
          <cell r="B61" t="str">
            <v>SPEC-146</v>
          </cell>
          <cell r="C61" t="str">
            <v>Hailea - HC500A - 110V</v>
          </cell>
          <cell r="D61">
            <v>8</v>
          </cell>
          <cell r="F61">
            <v>1</v>
          </cell>
          <cell r="G61">
            <v>8</v>
          </cell>
          <cell r="H61" t="str">
            <v>AQ-ARIUM</v>
          </cell>
        </row>
        <row r="62">
          <cell r="B62" t="str">
            <v>SPEC-363</v>
          </cell>
          <cell r="C62" t="str">
            <v>MHR b HP Cover R</v>
          </cell>
          <cell r="D62">
            <v>86</v>
          </cell>
          <cell r="E62">
            <v>380</v>
          </cell>
          <cell r="F62">
            <v>1</v>
          </cell>
          <cell r="G62">
            <v>86</v>
          </cell>
          <cell r="H62" t="str">
            <v>ENRIQUE AGUILAR</v>
          </cell>
        </row>
        <row r="63">
          <cell r="B63" t="str">
            <v>SPEC-50</v>
          </cell>
          <cell r="C63" t="str">
            <v>MHR-b HP Cover L</v>
          </cell>
          <cell r="D63">
            <v>86</v>
          </cell>
          <cell r="E63">
            <v>380</v>
          </cell>
          <cell r="F63">
            <v>1</v>
          </cell>
          <cell r="G63">
            <v>86</v>
          </cell>
          <cell r="H63" t="str">
            <v>ENRIQUE AGUILAR</v>
          </cell>
        </row>
        <row r="64">
          <cell r="B64" t="str">
            <v>SPEC-51</v>
          </cell>
          <cell r="C64" t="str">
            <v>b Frontal Cover</v>
          </cell>
          <cell r="D64">
            <v>112</v>
          </cell>
          <cell r="E64">
            <v>154</v>
          </cell>
          <cell r="F64">
            <v>1</v>
          </cell>
          <cell r="G64">
            <v>112</v>
          </cell>
          <cell r="H64" t="str">
            <v>ENRIQUE AGUILAR</v>
          </cell>
        </row>
        <row r="65">
          <cell r="B65" t="str">
            <v>SPEC-216</v>
          </cell>
          <cell r="C65" t="str">
            <v>MHR Console Back</v>
          </cell>
          <cell r="D65">
            <v>14</v>
          </cell>
          <cell r="E65">
            <v>10</v>
          </cell>
          <cell r="F65">
            <v>1</v>
          </cell>
          <cell r="G65">
            <v>14</v>
          </cell>
          <cell r="H65" t="str">
            <v>TYPI</v>
          </cell>
        </row>
        <row r="66">
          <cell r="B66" t="str">
            <v>SPEC-95</v>
          </cell>
          <cell r="C66" t="str">
            <v>Capacitor - LNR1H684MSE</v>
          </cell>
          <cell r="D66">
            <v>441</v>
          </cell>
          <cell r="E66">
            <v>80</v>
          </cell>
          <cell r="F66">
            <v>1</v>
          </cell>
          <cell r="G66">
            <v>441</v>
          </cell>
          <cell r="H66" t="str">
            <v>ARROW</v>
          </cell>
        </row>
        <row r="67">
          <cell r="B67" t="str">
            <v>SPEC-104</v>
          </cell>
          <cell r="C67" t="str">
            <v>Water pump</v>
          </cell>
          <cell r="D67">
            <v>326</v>
          </cell>
          <cell r="E67">
            <v>450</v>
          </cell>
          <cell r="F67">
            <v>1</v>
          </cell>
          <cell r="G67">
            <v>326</v>
          </cell>
          <cell r="H67" t="str">
            <v>IWAKI</v>
          </cell>
        </row>
        <row r="68">
          <cell r="B68" t="str">
            <v>SPEC-9</v>
          </cell>
          <cell r="C68" t="str">
            <v>b Touchscreen support</v>
          </cell>
          <cell r="D68">
            <v>85</v>
          </cell>
          <cell r="E68">
            <v>340</v>
          </cell>
          <cell r="F68">
            <v>1</v>
          </cell>
          <cell r="G68">
            <v>85</v>
          </cell>
          <cell r="H68" t="str">
            <v>LASER GALICIA</v>
          </cell>
        </row>
        <row r="69">
          <cell r="B69" t="str">
            <v>SPEC-329</v>
          </cell>
          <cell r="C69" t="str">
            <v>Base (blue painted)</v>
          </cell>
          <cell r="D69">
            <v>79</v>
          </cell>
          <cell r="E69">
            <v>340</v>
          </cell>
          <cell r="F69">
            <v>1</v>
          </cell>
          <cell r="G69">
            <v>79</v>
          </cell>
          <cell r="H69" t="str">
            <v>LASER GALICIA</v>
          </cell>
        </row>
        <row r="70">
          <cell r="B70" t="str">
            <v>SPEC-3</v>
          </cell>
          <cell r="C70" t="str">
            <v>LNR Capacitor Enclosure</v>
          </cell>
          <cell r="D70">
            <v>79</v>
          </cell>
          <cell r="E70">
            <v>340</v>
          </cell>
          <cell r="F70">
            <v>1</v>
          </cell>
          <cell r="G70">
            <v>79</v>
          </cell>
          <cell r="H70" t="str">
            <v>LASER GALICIA</v>
          </cell>
        </row>
        <row r="71">
          <cell r="B71" t="str">
            <v>SPEC-4</v>
          </cell>
          <cell r="C71" t="str">
            <v>Crate Mount</v>
          </cell>
          <cell r="D71">
            <v>86</v>
          </cell>
          <cell r="E71">
            <v>340</v>
          </cell>
          <cell r="F71">
            <v>1</v>
          </cell>
          <cell r="G71">
            <v>86</v>
          </cell>
          <cell r="H71" t="str">
            <v>LASER GALICIA</v>
          </cell>
        </row>
        <row r="72">
          <cell r="B72" t="str">
            <v>SPEC-117</v>
          </cell>
          <cell r="C72" t="str">
            <v>HP sticker plate</v>
          </cell>
          <cell r="D72">
            <v>621</v>
          </cell>
          <cell r="E72">
            <v>340</v>
          </cell>
          <cell r="F72">
            <v>1</v>
          </cell>
          <cell r="G72">
            <v>621</v>
          </cell>
          <cell r="H72" t="str">
            <v>LASER GALICIA</v>
          </cell>
        </row>
        <row r="73">
          <cell r="B73" t="str">
            <v>SPEC-162</v>
          </cell>
          <cell r="C73" t="str">
            <v>Copper strip</v>
          </cell>
          <cell r="D73">
            <v>233</v>
          </cell>
          <cell r="E73">
            <v>345</v>
          </cell>
          <cell r="F73">
            <v>1</v>
          </cell>
          <cell r="G73">
            <v>233</v>
          </cell>
          <cell r="H73" t="str">
            <v>LASER GALICIA</v>
          </cell>
        </row>
        <row r="74">
          <cell r="B74" t="str">
            <v>SPEC-5</v>
          </cell>
          <cell r="C74" t="str">
            <v>b Mosfet Heat Spreader</v>
          </cell>
          <cell r="D74">
            <v>105</v>
          </cell>
          <cell r="E74">
            <v>341</v>
          </cell>
          <cell r="F74">
            <v>1</v>
          </cell>
          <cell r="G74">
            <v>105</v>
          </cell>
          <cell r="H74" t="str">
            <v>LASER GALICIA</v>
          </cell>
        </row>
        <row r="75">
          <cell r="B75" t="str">
            <v>SPEC-6</v>
          </cell>
          <cell r="C75" t="str">
            <v>Angle Mount</v>
          </cell>
          <cell r="D75">
            <v>270</v>
          </cell>
          <cell r="E75">
            <v>680</v>
          </cell>
          <cell r="F75">
            <v>2</v>
          </cell>
          <cell r="G75">
            <v>135</v>
          </cell>
          <cell r="H75" t="str">
            <v>LASER GALICIA</v>
          </cell>
        </row>
        <row r="76">
          <cell r="B76" t="str">
            <v>SPEC-7</v>
          </cell>
          <cell r="C76" t="str">
            <v>Front Mount L</v>
          </cell>
          <cell r="D76">
            <v>134</v>
          </cell>
          <cell r="E76">
            <v>340</v>
          </cell>
          <cell r="F76">
            <v>1</v>
          </cell>
          <cell r="G76">
            <v>134</v>
          </cell>
          <cell r="H76" t="str">
            <v>LASER GALICIA</v>
          </cell>
        </row>
        <row r="77">
          <cell r="B77" t="str">
            <v>SPEC-8</v>
          </cell>
          <cell r="C77" t="str">
            <v>Front Mount R</v>
          </cell>
          <cell r="D77">
            <v>124</v>
          </cell>
          <cell r="E77">
            <v>340</v>
          </cell>
          <cell r="F77">
            <v>1</v>
          </cell>
          <cell r="G77">
            <v>124</v>
          </cell>
          <cell r="H77" t="str">
            <v>LASER GALICIA</v>
          </cell>
        </row>
        <row r="78">
          <cell r="B78" t="str">
            <v>SPEC-10</v>
          </cell>
          <cell r="C78" t="str">
            <v>MHR-b PS Enclosure</v>
          </cell>
          <cell r="D78">
            <v>102</v>
          </cell>
          <cell r="E78">
            <v>320</v>
          </cell>
          <cell r="F78">
            <v>1</v>
          </cell>
          <cell r="G78">
            <v>102</v>
          </cell>
          <cell r="H78" t="str">
            <v>LASER GALICIA</v>
          </cell>
        </row>
        <row r="79">
          <cell r="B79" t="str">
            <v>SPEC-1</v>
          </cell>
          <cell r="C79" t="str">
            <v>MHR-b Top Tray</v>
          </cell>
          <cell r="D79">
            <v>96</v>
          </cell>
          <cell r="E79">
            <v>320</v>
          </cell>
          <cell r="F79">
            <v>1</v>
          </cell>
          <cell r="G79">
            <v>96</v>
          </cell>
          <cell r="H79" t="str">
            <v>LASER GALICIA</v>
          </cell>
        </row>
        <row r="80">
          <cell r="B80" t="str">
            <v>SPEC-397</v>
          </cell>
          <cell r="C80" t="str">
            <v>Half din rail</v>
          </cell>
          <cell r="D80">
            <v>300</v>
          </cell>
          <cell r="E80">
            <v>640</v>
          </cell>
          <cell r="F80">
            <v>1</v>
          </cell>
          <cell r="G80">
            <v>300</v>
          </cell>
          <cell r="H80" t="str">
            <v>LASER GALICIA</v>
          </cell>
        </row>
        <row r="81">
          <cell r="B81" t="str">
            <v>SPEC-868</v>
          </cell>
          <cell r="C81" t="str">
            <v>MHR-b Hanger Port Mount</v>
          </cell>
          <cell r="D81">
            <v>80</v>
          </cell>
          <cell r="E81">
            <v>320</v>
          </cell>
          <cell r="F81">
            <v>1</v>
          </cell>
          <cell r="G81">
            <v>80</v>
          </cell>
          <cell r="H81" t="str">
            <v>LASER GALICIA</v>
          </cell>
        </row>
        <row r="82">
          <cell r="B82" t="str">
            <v>SPEC-905</v>
          </cell>
          <cell r="C82" t="str">
            <v>Mosfet source strip</v>
          </cell>
          <cell r="D82">
            <v>141</v>
          </cell>
          <cell r="E82">
            <v>325</v>
          </cell>
          <cell r="F82">
            <v>1</v>
          </cell>
          <cell r="G82">
            <v>141</v>
          </cell>
          <cell r="H82" t="str">
            <v>LASER GALICIA</v>
          </cell>
        </row>
        <row r="83">
          <cell r="B83" t="str">
            <v>SPEC-906</v>
          </cell>
          <cell r="C83" t="str">
            <v>Cap Charger Ground Strip</v>
          </cell>
          <cell r="D83">
            <v>150</v>
          </cell>
          <cell r="E83">
            <v>320</v>
          </cell>
          <cell r="F83">
            <v>1</v>
          </cell>
          <cell r="G83">
            <v>150</v>
          </cell>
          <cell r="H83" t="str">
            <v>LASER GALICIA</v>
          </cell>
        </row>
        <row r="84">
          <cell r="B84" t="str">
            <v>SPEC-111</v>
          </cell>
          <cell r="C84" t="str">
            <v>Pneumatic female contact 3mm - 09 14 000 6257</v>
          </cell>
          <cell r="D84">
            <v>408</v>
          </cell>
          <cell r="F84">
            <v>4</v>
          </cell>
          <cell r="G84">
            <v>102</v>
          </cell>
          <cell r="H84" t="str">
            <v>EDIMAR</v>
          </cell>
        </row>
        <row r="85">
          <cell r="B85" t="str">
            <v>SPEC-455</v>
          </cell>
          <cell r="C85" t="str">
            <v>Pneumatic x3 Body - Harting 09 14 003 4501</v>
          </cell>
          <cell r="D85">
            <v>157</v>
          </cell>
          <cell r="E85">
            <v>50</v>
          </cell>
          <cell r="F85">
            <v>2</v>
          </cell>
          <cell r="G85">
            <v>78.5</v>
          </cell>
          <cell r="H85" t="str">
            <v>EDIMAR</v>
          </cell>
        </row>
        <row r="86">
          <cell r="B86" t="str">
            <v>SPEC-290</v>
          </cell>
          <cell r="C86" t="str">
            <v>Harting lever - 09 00 0005221</v>
          </cell>
          <cell r="D86">
            <v>76</v>
          </cell>
          <cell r="E86">
            <v>150</v>
          </cell>
          <cell r="F86">
            <v>2</v>
          </cell>
          <cell r="G86">
            <v>38</v>
          </cell>
          <cell r="H86" t="str">
            <v>EDIMAR</v>
          </cell>
        </row>
        <row r="87">
          <cell r="B87" t="str">
            <v>SPEC-291</v>
          </cell>
          <cell r="C87" t="str">
            <v>Harting Hinged 4mod frame - 09 14 016 0313</v>
          </cell>
          <cell r="D87">
            <v>75</v>
          </cell>
          <cell r="E87">
            <v>50</v>
          </cell>
          <cell r="F87">
            <v>1</v>
          </cell>
          <cell r="G87">
            <v>75</v>
          </cell>
          <cell r="H87" t="str">
            <v>EDIMAR</v>
          </cell>
        </row>
        <row r="88">
          <cell r="B88" t="str">
            <v>SPEC-292</v>
          </cell>
          <cell r="C88" t="str">
            <v>Harting 8 signal male - 09 14 008 2634</v>
          </cell>
          <cell r="D88">
            <v>233</v>
          </cell>
          <cell r="F88">
            <v>1</v>
          </cell>
          <cell r="G88">
            <v>233</v>
          </cell>
          <cell r="H88" t="str">
            <v>EDIMAR</v>
          </cell>
        </row>
        <row r="89">
          <cell r="B89" t="str">
            <v>SPEC-293</v>
          </cell>
          <cell r="C89" t="str">
            <v>Harting x2 40A male - 09 14 002 2601</v>
          </cell>
          <cell r="D89">
            <v>204</v>
          </cell>
          <cell r="F89">
            <v>1</v>
          </cell>
          <cell r="G89">
            <v>204</v>
          </cell>
          <cell r="H89" t="str">
            <v>EDIMAR</v>
          </cell>
        </row>
        <row r="90">
          <cell r="B90" t="str">
            <v>SPEC-140</v>
          </cell>
          <cell r="C90" t="str">
            <v>Fitting Bulkhead 8-8 - 3116 08 00</v>
          </cell>
          <cell r="D90">
            <v>67</v>
          </cell>
          <cell r="E90">
            <v>880</v>
          </cell>
          <cell r="F90">
            <v>2</v>
          </cell>
          <cell r="G90">
            <v>33.5</v>
          </cell>
          <cell r="H90" t="str">
            <v>COMERCIAL BECANI</v>
          </cell>
        </row>
        <row r="91">
          <cell r="B91" t="str">
            <v>SPEC-180</v>
          </cell>
          <cell r="C91" t="str">
            <v>Fitting Elbow 1/8 to 8mm - 3199 08 10</v>
          </cell>
          <cell r="D91">
            <v>58</v>
          </cell>
          <cell r="E91">
            <v>400</v>
          </cell>
          <cell r="F91">
            <v>1</v>
          </cell>
          <cell r="G91">
            <v>58</v>
          </cell>
          <cell r="H91" t="str">
            <v>COMERCIAL BECANI</v>
          </cell>
        </row>
        <row r="92">
          <cell r="B92" t="str">
            <v>SPEC-181</v>
          </cell>
          <cell r="C92" t="str">
            <v>Fitting EQUAL CROSS 6mm - 3107 06 00</v>
          </cell>
          <cell r="D92">
            <v>44</v>
          </cell>
          <cell r="E92">
            <v>400</v>
          </cell>
          <cell r="F92">
            <v>1</v>
          </cell>
          <cell r="G92">
            <v>44</v>
          </cell>
          <cell r="H92" t="str">
            <v>COMERCIAL BECANI</v>
          </cell>
        </row>
        <row r="93">
          <cell r="B93" t="str">
            <v>SPEC-182</v>
          </cell>
          <cell r="C93" t="str">
            <v>Fitting Union 8-6mm - 3182 08 00</v>
          </cell>
          <cell r="D93">
            <v>90</v>
          </cell>
          <cell r="E93">
            <v>400</v>
          </cell>
          <cell r="F93">
            <v>1</v>
          </cell>
          <cell r="G93">
            <v>90</v>
          </cell>
          <cell r="H93" t="str">
            <v>COMERCIAL BECANI</v>
          </cell>
        </row>
        <row r="94">
          <cell r="B94" t="str">
            <v>SPEC-183</v>
          </cell>
          <cell r="C94" t="str">
            <v>Fitting Plug 8mm - 3126 08 00</v>
          </cell>
          <cell r="D94">
            <v>32</v>
          </cell>
          <cell r="E94">
            <v>166</v>
          </cell>
          <cell r="F94">
            <v>1</v>
          </cell>
          <cell r="G94">
            <v>32</v>
          </cell>
          <cell r="H94" t="str">
            <v>COMERCIAL BECANI</v>
          </cell>
        </row>
        <row r="95">
          <cell r="B95" t="str">
            <v>SPEC-184</v>
          </cell>
          <cell r="C95" t="str">
            <v>Fitting Union 6-8 mm - 3106 06 08</v>
          </cell>
          <cell r="D95">
            <v>26</v>
          </cell>
          <cell r="E95">
            <v>329</v>
          </cell>
          <cell r="F95">
            <v>1</v>
          </cell>
          <cell r="G95">
            <v>26</v>
          </cell>
          <cell r="H95" t="str">
            <v>COMERCIAL BECANI</v>
          </cell>
        </row>
        <row r="96">
          <cell r="B96" t="str">
            <v>SPEC-187</v>
          </cell>
          <cell r="C96" t="str">
            <v>Push in fitting RL31 Ø 6 1/8 - 2L31008</v>
          </cell>
          <cell r="D96">
            <v>69</v>
          </cell>
          <cell r="E96">
            <v>1800</v>
          </cell>
          <cell r="F96">
            <v>5</v>
          </cell>
          <cell r="G96">
            <v>13.8</v>
          </cell>
          <cell r="H96" t="str">
            <v>COMERCIAL BECANI</v>
          </cell>
        </row>
        <row r="97">
          <cell r="B97" t="str">
            <v>SPEC-188</v>
          </cell>
          <cell r="C97" t="str">
            <v>Fitting Y tube 6mm - 3140 06 00</v>
          </cell>
          <cell r="D97">
            <v>36</v>
          </cell>
          <cell r="E97">
            <v>400</v>
          </cell>
          <cell r="F97">
            <v>1</v>
          </cell>
          <cell r="G97">
            <v>36</v>
          </cell>
          <cell r="H97" t="str">
            <v>COMERCIAL BECANI</v>
          </cell>
        </row>
        <row r="98">
          <cell r="B98" t="str">
            <v>SPEC-254</v>
          </cell>
          <cell r="C98" t="str">
            <v>Fitting Bulkhead 6-6 - 3116 06 00</v>
          </cell>
          <cell r="D98">
            <v>73</v>
          </cell>
          <cell r="E98">
            <v>400</v>
          </cell>
          <cell r="F98">
            <v>1</v>
          </cell>
          <cell r="G98">
            <v>73</v>
          </cell>
          <cell r="H98" t="str">
            <v>COMERCIAL BECANI</v>
          </cell>
        </row>
        <row r="99">
          <cell r="B99" t="str">
            <v>SPEC-327</v>
          </cell>
          <cell r="C99" t="str">
            <v>Legris - 3106 04 06 - Union 6-4mm</v>
          </cell>
          <cell r="D99">
            <v>618</v>
          </cell>
          <cell r="E99">
            <v>480</v>
          </cell>
          <cell r="F99">
            <v>1</v>
          </cell>
          <cell r="G99">
            <v>618</v>
          </cell>
          <cell r="H99" t="str">
            <v>COMERCIAL BECANI</v>
          </cell>
        </row>
        <row r="100">
          <cell r="B100" t="str">
            <v>SPEC-441</v>
          </cell>
          <cell r="C100" t="str">
            <v>Fitting M5 4mm 90 - 3169 04 19</v>
          </cell>
          <cell r="D100">
            <v>263</v>
          </cell>
          <cell r="E100">
            <v>640</v>
          </cell>
          <cell r="F100">
            <v>2</v>
          </cell>
          <cell r="G100">
            <v>131.5</v>
          </cell>
          <cell r="H100" t="str">
            <v>COMERCIAL BECANI</v>
          </cell>
        </row>
        <row r="101">
          <cell r="B101" t="str">
            <v>SPEC-653</v>
          </cell>
          <cell r="C101" t="str">
            <v>Legris 3181_06_19 Fitting Round Body M5-6mm</v>
          </cell>
          <cell r="D101">
            <v>17</v>
          </cell>
          <cell r="E101">
            <v>1400</v>
          </cell>
          <cell r="F101">
            <v>4</v>
          </cell>
          <cell r="G101">
            <v>4.25</v>
          </cell>
          <cell r="H101" t="str">
            <v>COMERCIAL BECANI</v>
          </cell>
        </row>
        <row r="102">
          <cell r="B102" t="str">
            <v>SPEC-881</v>
          </cell>
          <cell r="C102" t="str">
            <v>Push-in fitting Ø4mm x M5, Straight, Cylindrical, Male</v>
          </cell>
          <cell r="D102">
            <v>506</v>
          </cell>
          <cell r="E102">
            <v>460</v>
          </cell>
          <cell r="F102">
            <v>2</v>
          </cell>
          <cell r="G102">
            <v>253</v>
          </cell>
          <cell r="H102" t="str">
            <v>COMERCIAL BECANI</v>
          </cell>
        </row>
        <row r="103">
          <cell r="B103" t="str">
            <v>SPEC-880</v>
          </cell>
          <cell r="C103" t="str">
            <v>Leaseir MHR Xcell Console Shipping Crate</v>
          </cell>
          <cell r="D103">
            <v>21</v>
          </cell>
          <cell r="E103">
            <v>40</v>
          </cell>
          <cell r="F103">
            <v>1</v>
          </cell>
          <cell r="G103">
            <v>21</v>
          </cell>
          <cell r="H103" t="str">
            <v>ENCAJA</v>
          </cell>
        </row>
        <row r="104">
          <cell r="B104" t="str">
            <v>SPEC-100</v>
          </cell>
          <cell r="C104" t="str">
            <v>Wheel</v>
          </cell>
          <cell r="D104">
            <v>340</v>
          </cell>
          <cell r="E104">
            <v>960</v>
          </cell>
          <cell r="F104">
            <v>4</v>
          </cell>
          <cell r="G104">
            <v>85</v>
          </cell>
          <cell r="H104" t="str">
            <v>TENTE RUEDAS</v>
          </cell>
        </row>
        <row r="105">
          <cell r="B105" t="str">
            <v>SPEC-97</v>
          </cell>
          <cell r="C105" t="str">
            <v>MHR Handpiece hardcase + Foam</v>
          </cell>
          <cell r="D105">
            <v>12</v>
          </cell>
          <cell r="E105">
            <v>200</v>
          </cell>
          <cell r="F105">
            <v>1</v>
          </cell>
          <cell r="G105">
            <v>12</v>
          </cell>
          <cell r="H105" t="str">
            <v>EVEREST</v>
          </cell>
        </row>
        <row r="106">
          <cell r="B106" t="str">
            <v>SPEC-280</v>
          </cell>
          <cell r="C106" t="str">
            <v>Operator goggles - ATD #52 780-830nm O.D6+</v>
          </cell>
          <cell r="D106">
            <v>247</v>
          </cell>
          <cell r="E106">
            <v>200</v>
          </cell>
          <cell r="F106">
            <v>2</v>
          </cell>
          <cell r="G106">
            <v>123.5</v>
          </cell>
          <cell r="H106" t="str">
            <v>LASERPAIR</v>
          </cell>
        </row>
        <row r="107">
          <cell r="B107" t="str">
            <v>SPEC-98</v>
          </cell>
          <cell r="C107" t="str">
            <v>Power Supply -  Vega Lite 750</v>
          </cell>
          <cell r="D107">
            <v>51</v>
          </cell>
          <cell r="E107">
            <v>400</v>
          </cell>
          <cell r="F107">
            <v>1</v>
          </cell>
          <cell r="G107">
            <v>51</v>
          </cell>
          <cell r="H107" t="str">
            <v>KOLBI</v>
          </cell>
        </row>
        <row r="108">
          <cell r="B108" t="str">
            <v>SPEC-573</v>
          </cell>
          <cell r="C108" t="str">
            <v>Dual-b Window</v>
          </cell>
          <cell r="D108">
            <v>265</v>
          </cell>
          <cell r="F108">
            <v>1</v>
          </cell>
          <cell r="G108">
            <v>265</v>
          </cell>
          <cell r="H108" t="str">
            <v>FUZHOU JYS</v>
          </cell>
        </row>
        <row r="109">
          <cell r="B109" t="str">
            <v>SPEC-578</v>
          </cell>
          <cell r="C109" t="str">
            <v>Quad-b window</v>
          </cell>
          <cell r="D109">
            <v>196</v>
          </cell>
          <cell r="F109">
            <v>1</v>
          </cell>
          <cell r="G109">
            <v>196</v>
          </cell>
          <cell r="H109" t="str">
            <v>FUZHOU JYS</v>
          </cell>
        </row>
        <row r="110">
          <cell r="B110" t="str">
            <v>SPEC-929</v>
          </cell>
          <cell r="C110" t="str">
            <v>Single-b 2024, window</v>
          </cell>
          <cell r="D110">
            <v>75</v>
          </cell>
          <cell r="F110">
            <v>1</v>
          </cell>
          <cell r="G110">
            <v>75</v>
          </cell>
          <cell r="H110" t="str">
            <v>FUZHOU JYS</v>
          </cell>
        </row>
        <row r="111">
          <cell r="B111" t="str">
            <v>SPEC-734</v>
          </cell>
          <cell r="C111" t="str">
            <v>Dual 13,5x14,5 Prism</v>
          </cell>
          <cell r="D111">
            <v>422</v>
          </cell>
          <cell r="F111">
            <v>1</v>
          </cell>
          <cell r="G111">
            <v>422</v>
          </cell>
          <cell r="H111" t="str">
            <v>FUZHOU JYS</v>
          </cell>
        </row>
        <row r="112">
          <cell r="B112" t="str">
            <v>SPEC-735</v>
          </cell>
          <cell r="C112" t="str">
            <v>Quad 25,5x14,5 Prism</v>
          </cell>
          <cell r="D112">
            <v>241</v>
          </cell>
          <cell r="F112">
            <v>1</v>
          </cell>
          <cell r="G112">
            <v>241</v>
          </cell>
          <cell r="H112" t="str">
            <v>FUZHOU JYS</v>
          </cell>
        </row>
        <row r="113">
          <cell r="B113" t="str">
            <v>SPEC-738</v>
          </cell>
          <cell r="C113" t="str">
            <v>Dual BLEND 12x14 Prism</v>
          </cell>
          <cell r="D113">
            <v>97</v>
          </cell>
          <cell r="F113">
            <v>1</v>
          </cell>
          <cell r="G113">
            <v>97</v>
          </cell>
          <cell r="H113" t="str">
            <v>FUZHOU JYS</v>
          </cell>
        </row>
        <row r="114">
          <cell r="B114" t="str">
            <v>SPEC-739</v>
          </cell>
          <cell r="C114" t="str">
            <v>Quad BLEND 14x24 Prism</v>
          </cell>
          <cell r="D114">
            <v>188</v>
          </cell>
          <cell r="F114">
            <v>1</v>
          </cell>
          <cell r="G114">
            <v>188</v>
          </cell>
          <cell r="H114" t="str">
            <v>FUZHOU JYS</v>
          </cell>
        </row>
        <row r="115">
          <cell r="B115" t="str">
            <v>SPEC-935</v>
          </cell>
          <cell r="C115" t="str">
            <v>Single 10.8x10.8 Prism</v>
          </cell>
          <cell r="D115">
            <v>3</v>
          </cell>
          <cell r="E115">
            <v>50</v>
          </cell>
          <cell r="F115">
            <v>1</v>
          </cell>
          <cell r="G115">
            <v>3</v>
          </cell>
          <cell r="H115" t="str">
            <v>FUZHOU JYS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Personalizado 4">
      <a:dk1>
        <a:srgbClr val="074C5B"/>
      </a:dk1>
      <a:lt1>
        <a:srgbClr val="8DC5D1"/>
      </a:lt1>
      <a:dk2>
        <a:srgbClr val="007A8C"/>
      </a:dk2>
      <a:lt2>
        <a:srgbClr val="D49D44"/>
      </a:lt2>
      <a:accent1>
        <a:srgbClr val="002F3B"/>
      </a:accent1>
      <a:accent2>
        <a:srgbClr val="FFFFFF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7418C-9E8F-486C-8019-12DF748F4AB4}">
  <sheetPr>
    <tabColor theme="6" tint="0.79998168889431442"/>
  </sheetPr>
  <dimension ref="A1:M1023"/>
  <sheetViews>
    <sheetView showGridLines="0" tabSelected="1" zoomScale="103" zoomScaleNormal="85" workbookViewId="0">
      <selection activeCell="H31" sqref="H31"/>
    </sheetView>
  </sheetViews>
  <sheetFormatPr defaultColWidth="11.42578125" defaultRowHeight="15" x14ac:dyDescent="0.25"/>
  <cols>
    <col min="1" max="1" width="5.5703125" bestFit="1" customWidth="1"/>
    <col min="2" max="2" width="20.140625" customWidth="1"/>
    <col min="3" max="3" width="113.28515625" bestFit="1" customWidth="1"/>
    <col min="4" max="5" width="20.140625" style="6" customWidth="1"/>
    <col min="6" max="6" width="20.140625" customWidth="1"/>
    <col min="8" max="8" width="15.42578125" bestFit="1" customWidth="1"/>
    <col min="9" max="9" width="14.140625" bestFit="1" customWidth="1"/>
    <col min="13" max="13" width="13.140625" bestFit="1" customWidth="1"/>
  </cols>
  <sheetData>
    <row r="1" spans="1:13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spans="1:13" ht="15.75" thickTop="1" x14ac:dyDescent="0.25">
      <c r="B2" s="4" t="s">
        <v>9</v>
      </c>
      <c r="C2" s="4" t="s">
        <v>10</v>
      </c>
      <c r="D2" s="4">
        <v>1</v>
      </c>
      <c r="E2" s="4">
        <v>8530.8799999999992</v>
      </c>
      <c r="F2" s="5">
        <f t="shared" ref="F2:F65" si="0">+IFERROR(E2/D2,0)</f>
        <v>8530.8799999999992</v>
      </c>
      <c r="H2" s="6">
        <f>+F2*30</f>
        <v>255926.39999999997</v>
      </c>
      <c r="I2" s="6">
        <f>+E2-H2</f>
        <v>-247395.51999999996</v>
      </c>
      <c r="L2" s="5"/>
      <c r="M2" s="5"/>
    </row>
    <row r="3" spans="1:13" x14ac:dyDescent="0.25">
      <c r="B3" s="4" t="s">
        <v>11</v>
      </c>
      <c r="C3" s="4" t="s">
        <v>12</v>
      </c>
      <c r="D3" s="7">
        <v>1</v>
      </c>
      <c r="E3" s="4">
        <v>8253.9500000000007</v>
      </c>
      <c r="F3" s="5">
        <f t="shared" si="0"/>
        <v>8253.9500000000007</v>
      </c>
      <c r="H3" s="6">
        <f>+F3*100</f>
        <v>825395.00000000012</v>
      </c>
      <c r="I3" s="6">
        <f>+E3-H3</f>
        <v>-817141.05000000016</v>
      </c>
    </row>
    <row r="4" spans="1:13" x14ac:dyDescent="0.25">
      <c r="B4" s="4" t="s">
        <v>13</v>
      </c>
      <c r="C4" s="4" t="s">
        <v>14</v>
      </c>
      <c r="D4" s="4">
        <v>5</v>
      </c>
      <c r="E4" s="4">
        <v>40975.54</v>
      </c>
      <c r="F4" s="5">
        <f t="shared" si="0"/>
        <v>8195.1080000000002</v>
      </c>
      <c r="H4" s="6"/>
      <c r="I4" s="6"/>
    </row>
    <row r="5" spans="1:13" x14ac:dyDescent="0.25">
      <c r="B5" s="4" t="s">
        <v>15</v>
      </c>
      <c r="C5" s="4" t="s">
        <v>16</v>
      </c>
      <c r="D5" s="4">
        <v>2</v>
      </c>
      <c r="E5" s="4">
        <v>13367.41</v>
      </c>
      <c r="F5" s="5">
        <f t="shared" si="0"/>
        <v>6683.7049999999999</v>
      </c>
      <c r="H5" s="6">
        <f>+F5*100</f>
        <v>668370.5</v>
      </c>
      <c r="I5" s="6">
        <f>+E5-H5</f>
        <v>-655003.09</v>
      </c>
    </row>
    <row r="6" spans="1:13" x14ac:dyDescent="0.25">
      <c r="A6">
        <v>285</v>
      </c>
      <c r="B6" s="4" t="s">
        <v>17</v>
      </c>
      <c r="C6" s="4" t="s">
        <v>18</v>
      </c>
      <c r="D6" s="4">
        <v>9</v>
      </c>
      <c r="E6" s="4">
        <v>45743.07</v>
      </c>
      <c r="F6" s="5">
        <f t="shared" si="0"/>
        <v>5082.5633333333335</v>
      </c>
      <c r="H6" s="6"/>
      <c r="I6" s="6"/>
    </row>
    <row r="7" spans="1:13" x14ac:dyDescent="0.25">
      <c r="A7">
        <v>186</v>
      </c>
      <c r="B7" s="4" t="s">
        <v>19</v>
      </c>
      <c r="C7" s="4" t="s">
        <v>20</v>
      </c>
      <c r="D7" s="4">
        <v>1</v>
      </c>
      <c r="E7" s="4">
        <v>4379.59</v>
      </c>
      <c r="F7" s="5">
        <f t="shared" si="0"/>
        <v>4379.59</v>
      </c>
      <c r="H7" s="6">
        <f>+F7*100</f>
        <v>437959</v>
      </c>
      <c r="I7" s="6">
        <f>+E7-H7</f>
        <v>-433579.41</v>
      </c>
    </row>
    <row r="8" spans="1:13" x14ac:dyDescent="0.25">
      <c r="A8">
        <v>222</v>
      </c>
      <c r="B8" s="4" t="s">
        <v>21</v>
      </c>
      <c r="C8" s="4" t="s">
        <v>22</v>
      </c>
      <c r="D8" s="4">
        <v>1</v>
      </c>
      <c r="E8" s="4">
        <v>4235</v>
      </c>
      <c r="F8" s="5">
        <f t="shared" si="0"/>
        <v>4235</v>
      </c>
      <c r="H8" s="6"/>
      <c r="I8" s="6"/>
    </row>
    <row r="9" spans="1:13" x14ac:dyDescent="0.25">
      <c r="A9">
        <v>446</v>
      </c>
      <c r="B9" s="4" t="s">
        <v>23</v>
      </c>
      <c r="C9" s="4" t="s">
        <v>24</v>
      </c>
      <c r="D9" s="4">
        <v>3</v>
      </c>
      <c r="E9" s="4">
        <v>12465.43</v>
      </c>
      <c r="F9" s="5">
        <f t="shared" si="0"/>
        <v>4155.1433333333334</v>
      </c>
      <c r="H9" s="6"/>
      <c r="I9" s="6"/>
    </row>
    <row r="10" spans="1:13" x14ac:dyDescent="0.25">
      <c r="B10" s="4" t="s">
        <v>25</v>
      </c>
      <c r="C10" s="4" t="s">
        <v>26</v>
      </c>
      <c r="D10" s="4">
        <v>6</v>
      </c>
      <c r="E10" s="4">
        <v>24811.4</v>
      </c>
      <c r="F10" s="5">
        <f t="shared" si="0"/>
        <v>4135.2333333333336</v>
      </c>
      <c r="H10" s="6"/>
      <c r="I10" s="6"/>
    </row>
    <row r="11" spans="1:13" x14ac:dyDescent="0.25">
      <c r="A11">
        <v>474</v>
      </c>
      <c r="B11" s="4" t="s">
        <v>27</v>
      </c>
      <c r="C11" s="4" t="s">
        <v>28</v>
      </c>
      <c r="D11" s="4">
        <v>9</v>
      </c>
      <c r="E11" s="4">
        <v>36787.39</v>
      </c>
      <c r="F11" s="5">
        <f t="shared" si="0"/>
        <v>4087.4877777777779</v>
      </c>
      <c r="H11" s="6">
        <f>100*F11</f>
        <v>408748.77777777781</v>
      </c>
      <c r="I11" s="6">
        <f>+E11-H11</f>
        <v>-371961.3877777778</v>
      </c>
    </row>
    <row r="12" spans="1:13" x14ac:dyDescent="0.25">
      <c r="B12" s="4" t="s">
        <v>29</v>
      </c>
      <c r="C12" s="4" t="s">
        <v>30</v>
      </c>
      <c r="D12" s="7">
        <v>1</v>
      </c>
      <c r="E12" s="4">
        <v>4035.88</v>
      </c>
      <c r="F12" s="5">
        <f t="shared" si="0"/>
        <v>4035.88</v>
      </c>
      <c r="H12" s="6"/>
      <c r="I12" s="6"/>
    </row>
    <row r="13" spans="1:13" x14ac:dyDescent="0.25">
      <c r="B13" s="4" t="s">
        <v>31</v>
      </c>
      <c r="C13" s="4" t="s">
        <v>32</v>
      </c>
      <c r="D13" s="4">
        <v>1</v>
      </c>
      <c r="E13" s="4">
        <v>3985.38</v>
      </c>
      <c r="F13" s="5">
        <f t="shared" si="0"/>
        <v>3985.38</v>
      </c>
      <c r="H13" s="6"/>
      <c r="I13" s="6"/>
    </row>
    <row r="14" spans="1:13" x14ac:dyDescent="0.25">
      <c r="B14" s="4" t="s">
        <v>33</v>
      </c>
      <c r="C14" s="4" t="s">
        <v>34</v>
      </c>
      <c r="D14" s="4">
        <v>1</v>
      </c>
      <c r="E14" s="4">
        <v>3979.82</v>
      </c>
      <c r="F14" s="5">
        <f t="shared" si="0"/>
        <v>3979.82</v>
      </c>
      <c r="G14" t="s">
        <v>35</v>
      </c>
      <c r="H14" s="6"/>
      <c r="I14" s="6"/>
    </row>
    <row r="15" spans="1:13" x14ac:dyDescent="0.25">
      <c r="B15" s="4" t="s">
        <v>36</v>
      </c>
      <c r="C15" s="4" t="s">
        <v>37</v>
      </c>
      <c r="D15" s="7">
        <v>8</v>
      </c>
      <c r="E15" s="4">
        <v>30430.73</v>
      </c>
      <c r="F15" s="5">
        <f t="shared" si="0"/>
        <v>3803.8412499999999</v>
      </c>
      <c r="H15" s="6"/>
      <c r="I15" s="6"/>
    </row>
    <row r="16" spans="1:13" x14ac:dyDescent="0.25">
      <c r="A16">
        <v>477</v>
      </c>
      <c r="B16" s="4" t="s">
        <v>38</v>
      </c>
      <c r="C16" s="4" t="s">
        <v>39</v>
      </c>
      <c r="D16" s="7">
        <v>3</v>
      </c>
      <c r="E16" s="4">
        <v>10563.75</v>
      </c>
      <c r="F16" s="5">
        <f t="shared" si="0"/>
        <v>3521.25</v>
      </c>
      <c r="H16" s="6"/>
      <c r="I16" s="6"/>
    </row>
    <row r="17" spans="1:9" x14ac:dyDescent="0.25">
      <c r="B17" s="4" t="s">
        <v>40</v>
      </c>
      <c r="C17" s="4" t="s">
        <v>41</v>
      </c>
      <c r="D17" s="4">
        <v>5</v>
      </c>
      <c r="E17" s="4">
        <v>17501.560000000001</v>
      </c>
      <c r="F17" s="5">
        <f t="shared" si="0"/>
        <v>3500.3120000000004</v>
      </c>
      <c r="H17" s="6"/>
      <c r="I17" s="6"/>
    </row>
    <row r="18" spans="1:9" x14ac:dyDescent="0.25">
      <c r="A18">
        <v>113</v>
      </c>
      <c r="B18" s="4" t="s">
        <v>42</v>
      </c>
      <c r="C18" s="4" t="s">
        <v>43</v>
      </c>
      <c r="D18" s="4">
        <v>29</v>
      </c>
      <c r="E18" s="4">
        <v>101500</v>
      </c>
      <c r="F18" s="5">
        <f t="shared" si="0"/>
        <v>3500</v>
      </c>
      <c r="G18" t="e">
        <f>+VLOOKUP(B18,'[1]Hoja 1'!$B:$H,7,0)</f>
        <v>#N/A</v>
      </c>
      <c r="H18" s="6"/>
      <c r="I18" s="6"/>
    </row>
    <row r="19" spans="1:9" x14ac:dyDescent="0.25">
      <c r="B19" s="4" t="s">
        <v>44</v>
      </c>
      <c r="C19" s="4" t="s">
        <v>45</v>
      </c>
      <c r="D19" s="7">
        <v>14</v>
      </c>
      <c r="E19" s="4">
        <v>48849.31</v>
      </c>
      <c r="F19" s="5">
        <f t="shared" si="0"/>
        <v>3489.2364285714284</v>
      </c>
      <c r="H19" s="6"/>
      <c r="I19" s="6"/>
    </row>
    <row r="20" spans="1:9" x14ac:dyDescent="0.25">
      <c r="A20">
        <v>293</v>
      </c>
      <c r="B20" s="4" t="s">
        <v>46</v>
      </c>
      <c r="C20" s="4" t="s">
        <v>47</v>
      </c>
      <c r="D20" s="4">
        <v>1</v>
      </c>
      <c r="E20" s="4">
        <v>3413.73</v>
      </c>
      <c r="F20" s="5">
        <f t="shared" si="0"/>
        <v>3413.73</v>
      </c>
      <c r="G20" t="e">
        <f>+VLOOKUP(B20,'[1]Hoja 1'!$B:$H,7,0)</f>
        <v>#N/A</v>
      </c>
      <c r="H20" s="6"/>
      <c r="I20" s="6"/>
    </row>
    <row r="21" spans="1:9" x14ac:dyDescent="0.25">
      <c r="A21">
        <v>97</v>
      </c>
      <c r="B21" s="4" t="s">
        <v>48</v>
      </c>
      <c r="C21" s="4" t="s">
        <v>49</v>
      </c>
      <c r="D21" s="4">
        <v>18</v>
      </c>
      <c r="E21" s="4">
        <v>59850</v>
      </c>
      <c r="F21" s="5">
        <f t="shared" si="0"/>
        <v>3325</v>
      </c>
      <c r="G21" t="e">
        <f>+VLOOKUP(B21,'[1]Hoja 1'!$B:$H,7,0)</f>
        <v>#N/A</v>
      </c>
      <c r="H21" s="6"/>
      <c r="I21" s="6"/>
    </row>
    <row r="22" spans="1:9" x14ac:dyDescent="0.25">
      <c r="B22" s="4" t="s">
        <v>50</v>
      </c>
      <c r="C22" s="4" t="s">
        <v>51</v>
      </c>
      <c r="D22" s="4">
        <v>5</v>
      </c>
      <c r="E22" s="4">
        <v>16625</v>
      </c>
      <c r="F22" s="5">
        <f t="shared" si="0"/>
        <v>3325</v>
      </c>
      <c r="H22" s="6"/>
      <c r="I22" s="6"/>
    </row>
    <row r="23" spans="1:9" x14ac:dyDescent="0.25">
      <c r="B23" s="4" t="s">
        <v>52</v>
      </c>
      <c r="C23" s="4" t="s">
        <v>53</v>
      </c>
      <c r="D23" s="4">
        <v>1</v>
      </c>
      <c r="E23" s="4">
        <v>3267.76</v>
      </c>
      <c r="F23" s="5">
        <f t="shared" si="0"/>
        <v>3267.76</v>
      </c>
      <c r="H23" s="6"/>
      <c r="I23" s="6"/>
    </row>
    <row r="24" spans="1:9" x14ac:dyDescent="0.25">
      <c r="B24" s="4" t="s">
        <v>54</v>
      </c>
      <c r="C24" s="4" t="s">
        <v>55</v>
      </c>
      <c r="D24" s="7">
        <v>1</v>
      </c>
      <c r="E24" s="4">
        <v>3128.86</v>
      </c>
      <c r="F24" s="5">
        <f t="shared" si="0"/>
        <v>3128.86</v>
      </c>
      <c r="H24" s="6"/>
      <c r="I24" s="6"/>
    </row>
    <row r="25" spans="1:9" x14ac:dyDescent="0.25">
      <c r="B25" s="4" t="s">
        <v>56</v>
      </c>
      <c r="C25" s="4" t="s">
        <v>57</v>
      </c>
      <c r="D25" s="4">
        <v>20</v>
      </c>
      <c r="E25" s="4">
        <v>62300</v>
      </c>
      <c r="F25" s="5">
        <f t="shared" si="0"/>
        <v>3115</v>
      </c>
      <c r="H25" s="6"/>
      <c r="I25" s="6"/>
    </row>
    <row r="26" spans="1:9" x14ac:dyDescent="0.25">
      <c r="A26">
        <v>256</v>
      </c>
      <c r="B26" s="4" t="s">
        <v>58</v>
      </c>
      <c r="C26" s="4" t="s">
        <v>59</v>
      </c>
      <c r="D26" s="4">
        <v>3</v>
      </c>
      <c r="E26" s="4">
        <v>9137.42</v>
      </c>
      <c r="F26" s="5">
        <f t="shared" si="0"/>
        <v>3045.8066666666668</v>
      </c>
      <c r="H26" s="6">
        <f>150*F26</f>
        <v>456871</v>
      </c>
      <c r="I26" s="6">
        <f>+E26-H26</f>
        <v>-447733.58</v>
      </c>
    </row>
    <row r="27" spans="1:9" x14ac:dyDescent="0.25">
      <c r="B27" s="4" t="s">
        <v>60</v>
      </c>
      <c r="C27" s="4" t="s">
        <v>61</v>
      </c>
      <c r="D27" s="4">
        <v>29</v>
      </c>
      <c r="E27" s="4">
        <v>83820</v>
      </c>
      <c r="F27" s="5">
        <f t="shared" si="0"/>
        <v>2890.344827586207</v>
      </c>
      <c r="H27" s="6"/>
      <c r="I27" s="6"/>
    </row>
    <row r="28" spans="1:9" x14ac:dyDescent="0.25">
      <c r="A28">
        <v>236</v>
      </c>
      <c r="B28" s="4" t="s">
        <v>62</v>
      </c>
      <c r="C28" s="4" t="s">
        <v>63</v>
      </c>
      <c r="D28" s="4">
        <v>6</v>
      </c>
      <c r="E28" s="4">
        <v>6661.49</v>
      </c>
      <c r="F28" s="5">
        <f t="shared" si="0"/>
        <v>1110.2483333333332</v>
      </c>
      <c r="H28" s="6"/>
      <c r="I28" s="6"/>
    </row>
    <row r="29" spans="1:9" x14ac:dyDescent="0.25">
      <c r="A29">
        <v>261</v>
      </c>
      <c r="B29" s="4" t="s">
        <v>64</v>
      </c>
      <c r="C29" s="4" t="s">
        <v>65</v>
      </c>
      <c r="D29" s="4">
        <v>8</v>
      </c>
      <c r="E29" s="4">
        <v>7800</v>
      </c>
      <c r="F29" s="5">
        <f t="shared" si="0"/>
        <v>975</v>
      </c>
      <c r="H29" s="6"/>
      <c r="I29" s="6"/>
    </row>
    <row r="30" spans="1:9" x14ac:dyDescent="0.25">
      <c r="B30" s="4" t="s">
        <v>66</v>
      </c>
      <c r="C30" s="4" t="s">
        <v>67</v>
      </c>
      <c r="D30" s="4">
        <v>6</v>
      </c>
      <c r="E30" s="7">
        <v>5400</v>
      </c>
      <c r="F30" s="5">
        <f t="shared" si="0"/>
        <v>900</v>
      </c>
      <c r="H30" s="6"/>
      <c r="I30" s="6"/>
    </row>
    <row r="31" spans="1:9" x14ac:dyDescent="0.25">
      <c r="B31" s="4" t="s">
        <v>68</v>
      </c>
      <c r="C31" s="4" t="s">
        <v>69</v>
      </c>
      <c r="D31" s="4">
        <v>2</v>
      </c>
      <c r="E31" s="7">
        <v>1800</v>
      </c>
      <c r="F31" s="5">
        <f t="shared" si="0"/>
        <v>900</v>
      </c>
    </row>
    <row r="32" spans="1:9" x14ac:dyDescent="0.25">
      <c r="A32">
        <v>169</v>
      </c>
      <c r="B32" s="4" t="s">
        <v>70</v>
      </c>
      <c r="C32" s="4" t="s">
        <v>71</v>
      </c>
      <c r="D32" s="4">
        <v>1</v>
      </c>
      <c r="E32" s="4">
        <v>898.31</v>
      </c>
      <c r="F32" s="5">
        <f t="shared" si="0"/>
        <v>898.31</v>
      </c>
    </row>
    <row r="33" spans="1:6" x14ac:dyDescent="0.25">
      <c r="A33">
        <v>332</v>
      </c>
      <c r="B33" s="4" t="s">
        <v>72</v>
      </c>
      <c r="C33" s="4" t="s">
        <v>73</v>
      </c>
      <c r="D33" s="4">
        <v>2</v>
      </c>
      <c r="E33" s="7">
        <v>1266.6300000000001</v>
      </c>
      <c r="F33" s="5">
        <f t="shared" si="0"/>
        <v>633.31500000000005</v>
      </c>
    </row>
    <row r="34" spans="1:6" x14ac:dyDescent="0.25">
      <c r="B34" s="4" t="s">
        <v>74</v>
      </c>
      <c r="C34" s="4" t="s">
        <v>75</v>
      </c>
      <c r="D34" s="4">
        <v>290</v>
      </c>
      <c r="E34" s="7">
        <v>167936.84</v>
      </c>
      <c r="F34" s="5">
        <f t="shared" si="0"/>
        <v>579.09255172413793</v>
      </c>
    </row>
    <row r="35" spans="1:6" x14ac:dyDescent="0.25">
      <c r="B35" s="4" t="s">
        <v>76</v>
      </c>
      <c r="C35" s="4" t="s">
        <v>77</v>
      </c>
      <c r="D35" s="4">
        <v>184</v>
      </c>
      <c r="E35" s="4">
        <v>94760</v>
      </c>
      <c r="F35" s="5">
        <f t="shared" si="0"/>
        <v>515</v>
      </c>
    </row>
    <row r="36" spans="1:6" x14ac:dyDescent="0.25">
      <c r="A36">
        <v>500</v>
      </c>
      <c r="B36" s="4" t="s">
        <v>78</v>
      </c>
      <c r="C36" s="4" t="s">
        <v>79</v>
      </c>
      <c r="D36" s="4">
        <v>16</v>
      </c>
      <c r="E36" s="4">
        <v>6880</v>
      </c>
      <c r="F36" s="5">
        <f t="shared" si="0"/>
        <v>430</v>
      </c>
    </row>
    <row r="37" spans="1:6" x14ac:dyDescent="0.25">
      <c r="A37">
        <v>75</v>
      </c>
      <c r="B37" s="4" t="s">
        <v>80</v>
      </c>
      <c r="C37" s="4" t="s">
        <v>81</v>
      </c>
      <c r="D37" s="4">
        <v>19</v>
      </c>
      <c r="E37" s="4">
        <v>7600</v>
      </c>
      <c r="F37" s="5">
        <f t="shared" si="0"/>
        <v>400</v>
      </c>
    </row>
    <row r="38" spans="1:6" x14ac:dyDescent="0.25">
      <c r="A38">
        <v>307</v>
      </c>
      <c r="B38" s="4" t="s">
        <v>82</v>
      </c>
      <c r="C38" s="4" t="s">
        <v>83</v>
      </c>
      <c r="D38" s="4">
        <v>13</v>
      </c>
      <c r="E38" s="4">
        <v>4866.29</v>
      </c>
      <c r="F38" s="5">
        <f t="shared" si="0"/>
        <v>374.33</v>
      </c>
    </row>
    <row r="39" spans="1:6" x14ac:dyDescent="0.25">
      <c r="B39" s="4" t="s">
        <v>84</v>
      </c>
      <c r="C39" s="4" t="s">
        <v>85</v>
      </c>
      <c r="D39" s="4">
        <v>2</v>
      </c>
      <c r="E39" s="4">
        <v>700</v>
      </c>
      <c r="F39" s="5">
        <f t="shared" si="0"/>
        <v>350</v>
      </c>
    </row>
    <row r="40" spans="1:6" x14ac:dyDescent="0.25">
      <c r="A40">
        <v>376</v>
      </c>
      <c r="B40" s="4" t="s">
        <v>86</v>
      </c>
      <c r="C40" s="4" t="s">
        <v>87</v>
      </c>
      <c r="D40" s="4">
        <v>10</v>
      </c>
      <c r="E40" s="4">
        <v>3400</v>
      </c>
      <c r="F40" s="5">
        <f t="shared" si="0"/>
        <v>340</v>
      </c>
    </row>
    <row r="41" spans="1:6" x14ac:dyDescent="0.25">
      <c r="A41">
        <v>367</v>
      </c>
      <c r="B41" s="4" t="s">
        <v>88</v>
      </c>
      <c r="C41" s="4" t="s">
        <v>89</v>
      </c>
      <c r="D41" s="4">
        <v>7</v>
      </c>
      <c r="E41" s="4">
        <v>2278.5700000000002</v>
      </c>
      <c r="F41" s="5">
        <f t="shared" si="0"/>
        <v>325.51000000000005</v>
      </c>
    </row>
    <row r="42" spans="1:6" x14ac:dyDescent="0.25">
      <c r="B42" s="4" t="s">
        <v>90</v>
      </c>
      <c r="C42" s="4" t="s">
        <v>91</v>
      </c>
      <c r="D42" s="7">
        <v>4</v>
      </c>
      <c r="E42" s="4">
        <v>1180</v>
      </c>
      <c r="F42" s="5">
        <f t="shared" si="0"/>
        <v>295</v>
      </c>
    </row>
    <row r="43" spans="1:6" x14ac:dyDescent="0.25">
      <c r="B43" s="4" t="s">
        <v>92</v>
      </c>
      <c r="C43" s="4" t="s">
        <v>93</v>
      </c>
      <c r="D43" s="4">
        <v>18</v>
      </c>
      <c r="E43" s="4">
        <v>4443.3</v>
      </c>
      <c r="F43" s="5">
        <f t="shared" si="0"/>
        <v>246.85000000000002</v>
      </c>
    </row>
    <row r="44" spans="1:6" x14ac:dyDescent="0.25">
      <c r="B44" s="4" t="s">
        <v>94</v>
      </c>
      <c r="C44" s="4" t="s">
        <v>95</v>
      </c>
      <c r="D44" s="4">
        <v>1</v>
      </c>
      <c r="E44" s="7">
        <v>246.69</v>
      </c>
      <c r="F44" s="5">
        <f t="shared" si="0"/>
        <v>246.69</v>
      </c>
    </row>
    <row r="45" spans="1:6" x14ac:dyDescent="0.25">
      <c r="A45">
        <v>145</v>
      </c>
      <c r="B45" s="4" t="s">
        <v>96</v>
      </c>
      <c r="C45" s="4" t="s">
        <v>97</v>
      </c>
      <c r="D45" s="4">
        <v>139</v>
      </c>
      <c r="E45" s="4">
        <v>34146.120000000003</v>
      </c>
      <c r="F45" s="5">
        <f t="shared" si="0"/>
        <v>245.65553956834535</v>
      </c>
    </row>
    <row r="46" spans="1:6" x14ac:dyDescent="0.25">
      <c r="B46" s="4" t="s">
        <v>98</v>
      </c>
      <c r="C46" s="4" t="s">
        <v>99</v>
      </c>
      <c r="D46" s="4">
        <v>15</v>
      </c>
      <c r="E46" s="4">
        <v>3602.85</v>
      </c>
      <c r="F46" s="5">
        <f t="shared" si="0"/>
        <v>240.19</v>
      </c>
    </row>
    <row r="47" spans="1:6" x14ac:dyDescent="0.25">
      <c r="B47" s="4" t="s">
        <v>100</v>
      </c>
      <c r="C47" s="4" t="s">
        <v>101</v>
      </c>
      <c r="D47" s="4">
        <v>40</v>
      </c>
      <c r="E47" s="7">
        <v>9462.7999999999993</v>
      </c>
      <c r="F47" s="5">
        <f t="shared" si="0"/>
        <v>236.57</v>
      </c>
    </row>
    <row r="48" spans="1:6" x14ac:dyDescent="0.25">
      <c r="B48" s="4" t="s">
        <v>102</v>
      </c>
      <c r="C48" s="4" t="s">
        <v>103</v>
      </c>
      <c r="D48" s="4">
        <v>11</v>
      </c>
      <c r="E48" s="4">
        <v>2533.3000000000002</v>
      </c>
      <c r="F48" s="5">
        <f t="shared" si="0"/>
        <v>230.3</v>
      </c>
    </row>
    <row r="49" spans="1:10" x14ac:dyDescent="0.25">
      <c r="B49" s="4" t="s">
        <v>104</v>
      </c>
      <c r="C49" s="4" t="s">
        <v>105</v>
      </c>
      <c r="D49" s="7">
        <v>318</v>
      </c>
      <c r="E49" s="7">
        <v>72298.66</v>
      </c>
      <c r="F49" s="5">
        <f t="shared" si="0"/>
        <v>227.35427672955976</v>
      </c>
    </row>
    <row r="50" spans="1:10" x14ac:dyDescent="0.25">
      <c r="B50" s="4" t="s">
        <v>106</v>
      </c>
      <c r="C50" s="4" t="s">
        <v>107</v>
      </c>
      <c r="D50" s="4">
        <v>55</v>
      </c>
      <c r="E50" s="4">
        <v>12294.04</v>
      </c>
      <c r="F50" s="5">
        <f t="shared" si="0"/>
        <v>223.52800000000002</v>
      </c>
    </row>
    <row r="51" spans="1:10" x14ac:dyDescent="0.25">
      <c r="B51" s="4" t="s">
        <v>108</v>
      </c>
      <c r="C51" s="4" t="s">
        <v>109</v>
      </c>
      <c r="D51" s="7">
        <v>7</v>
      </c>
      <c r="E51" s="4">
        <v>1558.47</v>
      </c>
      <c r="F51" s="5">
        <f t="shared" si="0"/>
        <v>222.63857142857142</v>
      </c>
    </row>
    <row r="52" spans="1:10" x14ac:dyDescent="0.25">
      <c r="B52" s="4" t="s">
        <v>110</v>
      </c>
      <c r="C52" s="4" t="s">
        <v>111</v>
      </c>
      <c r="D52" s="4">
        <v>38</v>
      </c>
      <c r="E52" s="4">
        <v>8432.0300000000007</v>
      </c>
      <c r="F52" s="5">
        <f t="shared" si="0"/>
        <v>221.89552631578948</v>
      </c>
    </row>
    <row r="53" spans="1:10" x14ac:dyDescent="0.25">
      <c r="B53" s="4" t="s">
        <v>112</v>
      </c>
      <c r="C53" s="4" t="s">
        <v>113</v>
      </c>
      <c r="D53" s="4">
        <v>42</v>
      </c>
      <c r="E53" s="4">
        <v>9118.83</v>
      </c>
      <c r="F53" s="5">
        <f t="shared" si="0"/>
        <v>217.11500000000001</v>
      </c>
    </row>
    <row r="54" spans="1:10" x14ac:dyDescent="0.25">
      <c r="B54" s="4" t="s">
        <v>114</v>
      </c>
      <c r="C54" s="4" t="s">
        <v>115</v>
      </c>
      <c r="D54" s="4">
        <v>7</v>
      </c>
      <c r="E54" s="4">
        <v>1483.92</v>
      </c>
      <c r="F54" s="5">
        <f t="shared" si="0"/>
        <v>211.98857142857145</v>
      </c>
    </row>
    <row r="55" spans="1:10" x14ac:dyDescent="0.25">
      <c r="B55" s="4" t="s">
        <v>116</v>
      </c>
      <c r="C55" s="4" t="s">
        <v>117</v>
      </c>
      <c r="D55" s="4">
        <v>3</v>
      </c>
      <c r="E55" s="4">
        <v>591.32000000000005</v>
      </c>
      <c r="F55" s="5">
        <f t="shared" si="0"/>
        <v>197.10666666666668</v>
      </c>
    </row>
    <row r="56" spans="1:10" x14ac:dyDescent="0.25">
      <c r="B56" s="4" t="s">
        <v>118</v>
      </c>
      <c r="C56" s="4" t="s">
        <v>119</v>
      </c>
      <c r="D56" s="4">
        <v>4</v>
      </c>
      <c r="E56" s="4">
        <v>748.44</v>
      </c>
      <c r="F56" s="5">
        <f t="shared" si="0"/>
        <v>187.11</v>
      </c>
    </row>
    <row r="57" spans="1:10" x14ac:dyDescent="0.25">
      <c r="B57" s="4" t="s">
        <v>120</v>
      </c>
      <c r="C57" s="4" t="s">
        <v>121</v>
      </c>
      <c r="D57" s="4">
        <v>126</v>
      </c>
      <c r="E57" s="4">
        <v>23575.41</v>
      </c>
      <c r="F57" s="5">
        <f t="shared" si="0"/>
        <v>187.10642857142858</v>
      </c>
    </row>
    <row r="58" spans="1:10" x14ac:dyDescent="0.25">
      <c r="A58">
        <v>334</v>
      </c>
      <c r="B58" s="4" t="s">
        <v>122</v>
      </c>
      <c r="C58" s="4" t="s">
        <v>123</v>
      </c>
      <c r="D58" s="4">
        <v>3</v>
      </c>
      <c r="E58" s="7">
        <v>537.75</v>
      </c>
      <c r="F58" s="5">
        <f t="shared" si="0"/>
        <v>179.25</v>
      </c>
    </row>
    <row r="59" spans="1:10" x14ac:dyDescent="0.25">
      <c r="A59">
        <v>38</v>
      </c>
      <c r="B59" s="4" t="s">
        <v>124</v>
      </c>
      <c r="C59" s="4" t="s">
        <v>125</v>
      </c>
      <c r="D59" s="4">
        <v>8</v>
      </c>
      <c r="E59" s="4">
        <v>1386.4</v>
      </c>
      <c r="F59" s="5">
        <f t="shared" si="0"/>
        <v>173.3</v>
      </c>
    </row>
    <row r="60" spans="1:10" x14ac:dyDescent="0.25">
      <c r="A60">
        <v>111</v>
      </c>
      <c r="B60" s="4" t="s">
        <v>126</v>
      </c>
      <c r="C60" s="4" t="s">
        <v>127</v>
      </c>
      <c r="D60" s="4">
        <v>1</v>
      </c>
      <c r="E60" s="4">
        <v>168.13</v>
      </c>
      <c r="F60" s="5">
        <f t="shared" si="0"/>
        <v>168.13</v>
      </c>
    </row>
    <row r="61" spans="1:10" x14ac:dyDescent="0.25">
      <c r="A61">
        <v>217</v>
      </c>
      <c r="B61" s="4" t="s">
        <v>128</v>
      </c>
      <c r="C61" s="4" t="s">
        <v>129</v>
      </c>
      <c r="D61" s="4">
        <v>11</v>
      </c>
      <c r="E61" s="4">
        <v>1799.71</v>
      </c>
      <c r="F61" s="5">
        <f t="shared" si="0"/>
        <v>163.61000000000001</v>
      </c>
      <c r="G61" t="e">
        <f>+VLOOKUP(B61,'[1]Hoja 1'!$B:$H,7,0)</f>
        <v>#N/A</v>
      </c>
    </row>
    <row r="62" spans="1:10" x14ac:dyDescent="0.25">
      <c r="A62">
        <v>360</v>
      </c>
      <c r="B62" s="4" t="s">
        <v>130</v>
      </c>
      <c r="C62" s="4" t="s">
        <v>131</v>
      </c>
      <c r="D62" s="4">
        <v>20</v>
      </c>
      <c r="E62" s="4">
        <v>3174.4</v>
      </c>
      <c r="F62" s="5">
        <f t="shared" si="0"/>
        <v>158.72</v>
      </c>
    </row>
    <row r="63" spans="1:10" x14ac:dyDescent="0.25">
      <c r="B63" s="4" t="s">
        <v>132</v>
      </c>
      <c r="C63" s="4" t="s">
        <v>133</v>
      </c>
      <c r="D63" s="4">
        <v>10</v>
      </c>
      <c r="E63" s="4">
        <v>1585.5</v>
      </c>
      <c r="F63" s="5">
        <f t="shared" si="0"/>
        <v>158.55000000000001</v>
      </c>
      <c r="H63">
        <v>200</v>
      </c>
      <c r="J63">
        <v>75.900000000000006</v>
      </c>
    </row>
    <row r="64" spans="1:10" x14ac:dyDescent="0.25">
      <c r="A64">
        <v>211</v>
      </c>
      <c r="B64" s="4" t="s">
        <v>134</v>
      </c>
      <c r="C64" s="4" t="s">
        <v>135</v>
      </c>
      <c r="D64" s="7">
        <v>117</v>
      </c>
      <c r="E64" s="4">
        <v>18550.349999999999</v>
      </c>
      <c r="F64" s="5">
        <f t="shared" si="0"/>
        <v>158.54999999999998</v>
      </c>
      <c r="H64" s="6">
        <v>14709.56</v>
      </c>
      <c r="I64" s="6"/>
    </row>
    <row r="65" spans="1:10" x14ac:dyDescent="0.25">
      <c r="A65">
        <v>107</v>
      </c>
      <c r="B65" s="4" t="s">
        <v>136</v>
      </c>
      <c r="C65" s="4" t="s">
        <v>137</v>
      </c>
      <c r="D65" s="4">
        <v>70</v>
      </c>
      <c r="E65" s="4">
        <v>11016.6</v>
      </c>
      <c r="F65" s="5">
        <f t="shared" si="0"/>
        <v>157.38</v>
      </c>
      <c r="H65" s="6">
        <v>2175.7600000000002</v>
      </c>
      <c r="I65" s="6"/>
    </row>
    <row r="66" spans="1:10" x14ac:dyDescent="0.25">
      <c r="B66" s="4" t="s">
        <v>138</v>
      </c>
      <c r="C66" s="4" t="s">
        <v>139</v>
      </c>
      <c r="D66" s="4">
        <v>6</v>
      </c>
      <c r="E66" s="4">
        <v>938.52</v>
      </c>
      <c r="F66" s="5">
        <f t="shared" ref="F66:F129" si="1">+IFERROR(E66/D66,0)</f>
        <v>156.41999999999999</v>
      </c>
      <c r="H66" s="6">
        <v>793.25</v>
      </c>
      <c r="I66" s="6"/>
      <c r="J66" s="6"/>
    </row>
    <row r="67" spans="1:10" x14ac:dyDescent="0.25">
      <c r="A67">
        <v>91</v>
      </c>
      <c r="B67" s="4" t="s">
        <v>140</v>
      </c>
      <c r="C67" s="4" t="s">
        <v>141</v>
      </c>
      <c r="D67" s="4">
        <v>89</v>
      </c>
      <c r="E67" s="4">
        <v>12627.32</v>
      </c>
      <c r="F67" s="5">
        <f t="shared" si="1"/>
        <v>141.88</v>
      </c>
      <c r="H67" s="6">
        <f>+SUM(H64:H66)</f>
        <v>17678.57</v>
      </c>
      <c r="I67" s="6"/>
      <c r="J67" s="6">
        <f>+H63*J63</f>
        <v>15180.000000000002</v>
      </c>
    </row>
    <row r="68" spans="1:10" x14ac:dyDescent="0.25">
      <c r="B68" s="4" t="s">
        <v>142</v>
      </c>
      <c r="C68" s="4" t="s">
        <v>143</v>
      </c>
      <c r="D68" s="4">
        <v>415</v>
      </c>
      <c r="E68" s="4">
        <v>57633.24</v>
      </c>
      <c r="F68" s="5">
        <f t="shared" si="1"/>
        <v>138.87527710843372</v>
      </c>
      <c r="H68" s="6"/>
      <c r="I68" s="6"/>
      <c r="J68" s="6">
        <f>+H67-J67</f>
        <v>2498.5699999999979</v>
      </c>
    </row>
    <row r="69" spans="1:10" x14ac:dyDescent="0.25">
      <c r="A69">
        <v>305</v>
      </c>
      <c r="B69" s="4" t="s">
        <v>144</v>
      </c>
      <c r="C69" s="4" t="s">
        <v>145</v>
      </c>
      <c r="D69" s="4">
        <v>2</v>
      </c>
      <c r="E69" s="4">
        <v>272.88</v>
      </c>
      <c r="F69" s="5">
        <f t="shared" si="1"/>
        <v>136.44</v>
      </c>
      <c r="H69" s="6">
        <f>+H67*4</f>
        <v>70714.28</v>
      </c>
      <c r="J69" s="6">
        <f>+J63*800</f>
        <v>60720.000000000007</v>
      </c>
    </row>
    <row r="70" spans="1:10" x14ac:dyDescent="0.25">
      <c r="B70" s="4" t="s">
        <v>146</v>
      </c>
      <c r="C70" s="4" t="s">
        <v>147</v>
      </c>
      <c r="D70" s="4">
        <v>21</v>
      </c>
      <c r="E70" s="4">
        <v>2742.81</v>
      </c>
      <c r="F70" s="5">
        <f t="shared" si="1"/>
        <v>130.60999999999999</v>
      </c>
      <c r="J70" s="6">
        <f>+H69-J69</f>
        <v>9994.2799999999916</v>
      </c>
    </row>
    <row r="71" spans="1:10" x14ac:dyDescent="0.25">
      <c r="B71" s="4" t="s">
        <v>148</v>
      </c>
      <c r="C71" s="4" t="s">
        <v>149</v>
      </c>
      <c r="D71" s="4">
        <v>4</v>
      </c>
      <c r="E71" s="7">
        <v>509.76</v>
      </c>
      <c r="F71" s="5">
        <f t="shared" si="1"/>
        <v>127.44</v>
      </c>
      <c r="J71" s="6"/>
    </row>
    <row r="72" spans="1:10" x14ac:dyDescent="0.25">
      <c r="B72" s="4" t="s">
        <v>150</v>
      </c>
      <c r="C72" s="4" t="s">
        <v>151</v>
      </c>
      <c r="D72" s="4">
        <v>65</v>
      </c>
      <c r="E72" s="4">
        <v>7970.78</v>
      </c>
      <c r="F72" s="5">
        <f t="shared" si="1"/>
        <v>122.62738461538461</v>
      </c>
    </row>
    <row r="73" spans="1:10" x14ac:dyDescent="0.25">
      <c r="B73" s="4" t="s">
        <v>152</v>
      </c>
      <c r="C73" s="4" t="s">
        <v>153</v>
      </c>
      <c r="D73" s="4">
        <v>155</v>
      </c>
      <c r="E73" s="4">
        <v>18869.080000000002</v>
      </c>
      <c r="F73" s="5">
        <f t="shared" si="1"/>
        <v>121.736</v>
      </c>
    </row>
    <row r="74" spans="1:10" x14ac:dyDescent="0.25">
      <c r="A74">
        <v>342</v>
      </c>
      <c r="B74" s="4" t="s">
        <v>154</v>
      </c>
      <c r="C74" s="4" t="s">
        <v>155</v>
      </c>
      <c r="D74" s="4">
        <v>98</v>
      </c>
      <c r="E74" s="4">
        <v>11343.5</v>
      </c>
      <c r="F74" s="5">
        <f t="shared" si="1"/>
        <v>115.75</v>
      </c>
    </row>
    <row r="75" spans="1:10" x14ac:dyDescent="0.25">
      <c r="A75">
        <v>541</v>
      </c>
      <c r="B75" s="4" t="s">
        <v>156</v>
      </c>
      <c r="C75" s="4" t="s">
        <v>157</v>
      </c>
      <c r="D75" s="4">
        <v>116</v>
      </c>
      <c r="E75" s="4">
        <v>13281.29</v>
      </c>
      <c r="F75" s="5">
        <f t="shared" si="1"/>
        <v>114.49387931034484</v>
      </c>
    </row>
    <row r="76" spans="1:10" x14ac:dyDescent="0.25">
      <c r="B76" s="4" t="s">
        <v>158</v>
      </c>
      <c r="C76" s="4" t="s">
        <v>159</v>
      </c>
      <c r="D76" s="4">
        <v>29</v>
      </c>
      <c r="E76" s="4">
        <v>3283.34</v>
      </c>
      <c r="F76" s="5">
        <f t="shared" si="1"/>
        <v>113.21862068965518</v>
      </c>
    </row>
    <row r="77" spans="1:10" x14ac:dyDescent="0.25">
      <c r="B77" s="4" t="s">
        <v>160</v>
      </c>
      <c r="C77" s="4" t="s">
        <v>161</v>
      </c>
      <c r="D77" s="4">
        <v>9</v>
      </c>
      <c r="E77" s="7">
        <v>1006.56</v>
      </c>
      <c r="F77" s="5">
        <f t="shared" si="1"/>
        <v>111.83999999999999</v>
      </c>
    </row>
    <row r="78" spans="1:10" x14ac:dyDescent="0.25">
      <c r="B78" s="4" t="s">
        <v>162</v>
      </c>
      <c r="C78" s="4" t="s">
        <v>163</v>
      </c>
      <c r="D78" s="4">
        <v>89</v>
      </c>
      <c r="E78" s="7">
        <v>9607.3700000000008</v>
      </c>
      <c r="F78" s="5">
        <f t="shared" si="1"/>
        <v>107.94797752808989</v>
      </c>
    </row>
    <row r="79" spans="1:10" x14ac:dyDescent="0.25">
      <c r="A79">
        <v>554</v>
      </c>
      <c r="B79" s="4" t="s">
        <v>164</v>
      </c>
      <c r="C79" s="4" t="s">
        <v>165</v>
      </c>
      <c r="D79" s="4">
        <v>1</v>
      </c>
      <c r="E79" s="4">
        <v>106.69</v>
      </c>
      <c r="F79" s="5">
        <f t="shared" si="1"/>
        <v>106.69</v>
      </c>
    </row>
    <row r="80" spans="1:10" x14ac:dyDescent="0.25">
      <c r="B80" s="4" t="s">
        <v>166</v>
      </c>
      <c r="C80" s="4" t="s">
        <v>167</v>
      </c>
      <c r="D80" s="4">
        <v>3</v>
      </c>
      <c r="E80" s="4">
        <v>319.8</v>
      </c>
      <c r="F80" s="5">
        <f t="shared" si="1"/>
        <v>106.60000000000001</v>
      </c>
    </row>
    <row r="81" spans="1:6" x14ac:dyDescent="0.25">
      <c r="B81" s="4" t="s">
        <v>168</v>
      </c>
      <c r="C81" s="4" t="s">
        <v>169</v>
      </c>
      <c r="D81" s="7">
        <v>1</v>
      </c>
      <c r="E81" s="4">
        <v>106.6</v>
      </c>
      <c r="F81" s="5">
        <f t="shared" si="1"/>
        <v>106.6</v>
      </c>
    </row>
    <row r="82" spans="1:6" x14ac:dyDescent="0.25">
      <c r="B82" s="4" t="s">
        <v>170</v>
      </c>
      <c r="C82" s="4" t="s">
        <v>171</v>
      </c>
      <c r="D82" s="4">
        <v>20</v>
      </c>
      <c r="E82" s="4">
        <v>2094.96</v>
      </c>
      <c r="F82" s="5">
        <f t="shared" si="1"/>
        <v>104.748</v>
      </c>
    </row>
    <row r="83" spans="1:6" x14ac:dyDescent="0.25">
      <c r="B83" s="4" t="s">
        <v>172</v>
      </c>
      <c r="C83" s="4" t="s">
        <v>151</v>
      </c>
      <c r="D83" s="4">
        <v>4</v>
      </c>
      <c r="E83" s="4">
        <v>416</v>
      </c>
      <c r="F83" s="5">
        <f t="shared" si="1"/>
        <v>104</v>
      </c>
    </row>
    <row r="84" spans="1:6" x14ac:dyDescent="0.25">
      <c r="B84" s="4" t="s">
        <v>173</v>
      </c>
      <c r="C84" s="4" t="s">
        <v>167</v>
      </c>
      <c r="D84" s="4">
        <v>45</v>
      </c>
      <c r="E84" s="4">
        <v>4661.95</v>
      </c>
      <c r="F84" s="5">
        <f t="shared" si="1"/>
        <v>103.59888888888888</v>
      </c>
    </row>
    <row r="85" spans="1:6" x14ac:dyDescent="0.25">
      <c r="A85">
        <v>516</v>
      </c>
      <c r="B85" s="4" t="s">
        <v>174</v>
      </c>
      <c r="C85" s="4" t="s">
        <v>175</v>
      </c>
      <c r="D85" s="4">
        <v>3</v>
      </c>
      <c r="E85" s="7">
        <v>308.77999999999997</v>
      </c>
      <c r="F85" s="5">
        <f t="shared" si="1"/>
        <v>102.92666666666666</v>
      </c>
    </row>
    <row r="86" spans="1:6" x14ac:dyDescent="0.25">
      <c r="A86">
        <v>347</v>
      </c>
      <c r="B86" s="4" t="s">
        <v>176</v>
      </c>
      <c r="C86" s="4" t="s">
        <v>177</v>
      </c>
      <c r="D86" s="7">
        <v>1</v>
      </c>
      <c r="E86" s="4">
        <v>102.86</v>
      </c>
      <c r="F86" s="5">
        <f t="shared" si="1"/>
        <v>102.86</v>
      </c>
    </row>
    <row r="87" spans="1:6" x14ac:dyDescent="0.25">
      <c r="A87">
        <v>259</v>
      </c>
      <c r="B87" s="4" t="s">
        <v>178</v>
      </c>
      <c r="C87" s="4" t="s">
        <v>179</v>
      </c>
      <c r="D87" s="4">
        <v>32</v>
      </c>
      <c r="E87" s="4">
        <v>3233.34</v>
      </c>
      <c r="F87" s="5">
        <f t="shared" si="1"/>
        <v>101.041875</v>
      </c>
    </row>
    <row r="88" spans="1:6" x14ac:dyDescent="0.25">
      <c r="A88">
        <v>368</v>
      </c>
      <c r="B88" s="4" t="s">
        <v>180</v>
      </c>
      <c r="C88" s="4" t="s">
        <v>181</v>
      </c>
      <c r="D88" s="4">
        <v>23</v>
      </c>
      <c r="E88" s="4">
        <v>2320.0100000000002</v>
      </c>
      <c r="F88" s="5">
        <f t="shared" si="1"/>
        <v>100.87</v>
      </c>
    </row>
    <row r="89" spans="1:6" x14ac:dyDescent="0.25">
      <c r="B89" s="4" t="s">
        <v>182</v>
      </c>
      <c r="C89" s="4" t="s">
        <v>183</v>
      </c>
      <c r="D89" s="4">
        <v>32</v>
      </c>
      <c r="E89" s="4">
        <v>3159.04</v>
      </c>
      <c r="F89" s="5">
        <f t="shared" si="1"/>
        <v>98.72</v>
      </c>
    </row>
    <row r="90" spans="1:6" x14ac:dyDescent="0.25">
      <c r="A90">
        <v>377</v>
      </c>
      <c r="B90" s="4" t="s">
        <v>184</v>
      </c>
      <c r="C90" s="4" t="s">
        <v>185</v>
      </c>
      <c r="D90" s="4">
        <v>98</v>
      </c>
      <c r="E90" s="4">
        <v>9631.44</v>
      </c>
      <c r="F90" s="5">
        <f t="shared" si="1"/>
        <v>98.28</v>
      </c>
    </row>
    <row r="91" spans="1:6" x14ac:dyDescent="0.25">
      <c r="B91" s="4" t="s">
        <v>186</v>
      </c>
      <c r="C91" s="4" t="s">
        <v>187</v>
      </c>
      <c r="D91" s="4">
        <v>34</v>
      </c>
      <c r="E91" s="7">
        <v>3292.9</v>
      </c>
      <c r="F91" s="5">
        <f t="shared" si="1"/>
        <v>96.850000000000009</v>
      </c>
    </row>
    <row r="92" spans="1:6" x14ac:dyDescent="0.25">
      <c r="A92">
        <v>344</v>
      </c>
      <c r="B92" s="4" t="s">
        <v>188</v>
      </c>
      <c r="C92" s="4" t="s">
        <v>189</v>
      </c>
      <c r="D92" s="4">
        <v>47</v>
      </c>
      <c r="E92" s="4">
        <v>4459.83</v>
      </c>
      <c r="F92" s="5">
        <f t="shared" si="1"/>
        <v>94.89</v>
      </c>
    </row>
    <row r="93" spans="1:6" x14ac:dyDescent="0.25">
      <c r="B93" s="4" t="s">
        <v>190</v>
      </c>
      <c r="C93" s="4" t="s">
        <v>191</v>
      </c>
      <c r="D93" s="4">
        <v>25</v>
      </c>
      <c r="E93" s="4">
        <v>2369.29</v>
      </c>
      <c r="F93" s="5">
        <f t="shared" si="1"/>
        <v>94.771599999999992</v>
      </c>
    </row>
    <row r="94" spans="1:6" x14ac:dyDescent="0.25">
      <c r="B94" s="4" t="s">
        <v>192</v>
      </c>
      <c r="C94" s="4" t="s">
        <v>193</v>
      </c>
      <c r="D94" s="4">
        <v>4</v>
      </c>
      <c r="E94" s="7">
        <v>377.97</v>
      </c>
      <c r="F94" s="5">
        <f t="shared" si="1"/>
        <v>94.492500000000007</v>
      </c>
    </row>
    <row r="95" spans="1:6" x14ac:dyDescent="0.25">
      <c r="B95" s="4" t="s">
        <v>194</v>
      </c>
      <c r="C95" s="4" t="s">
        <v>159</v>
      </c>
      <c r="D95" s="7">
        <v>102</v>
      </c>
      <c r="E95" s="4">
        <v>9617.58</v>
      </c>
      <c r="F95" s="5">
        <f t="shared" si="1"/>
        <v>94.29</v>
      </c>
    </row>
    <row r="96" spans="1:6" x14ac:dyDescent="0.25">
      <c r="A96">
        <v>182</v>
      </c>
      <c r="B96" s="4" t="s">
        <v>195</v>
      </c>
      <c r="C96" s="4" t="s">
        <v>196</v>
      </c>
      <c r="D96" s="4">
        <v>132</v>
      </c>
      <c r="E96" s="4">
        <v>12355.2</v>
      </c>
      <c r="F96" s="5">
        <f t="shared" si="1"/>
        <v>93.600000000000009</v>
      </c>
    </row>
    <row r="97" spans="1:6" x14ac:dyDescent="0.25">
      <c r="B97" s="4" t="s">
        <v>197</v>
      </c>
      <c r="C97" s="4" t="s">
        <v>198</v>
      </c>
      <c r="D97" s="4">
        <v>108</v>
      </c>
      <c r="E97" s="4">
        <v>10099.08</v>
      </c>
      <c r="F97" s="5">
        <f t="shared" si="1"/>
        <v>93.51</v>
      </c>
    </row>
    <row r="98" spans="1:6" x14ac:dyDescent="0.25">
      <c r="B98" s="4" t="s">
        <v>199</v>
      </c>
      <c r="C98" s="4" t="s">
        <v>200</v>
      </c>
      <c r="D98" s="4">
        <v>42</v>
      </c>
      <c r="E98" s="4">
        <v>3927.42</v>
      </c>
      <c r="F98" s="5">
        <f t="shared" si="1"/>
        <v>93.51</v>
      </c>
    </row>
    <row r="99" spans="1:6" x14ac:dyDescent="0.25">
      <c r="A99">
        <v>47</v>
      </c>
      <c r="B99" s="4" t="s">
        <v>201</v>
      </c>
      <c r="C99" s="4" t="s">
        <v>202</v>
      </c>
      <c r="D99" s="4">
        <v>9</v>
      </c>
      <c r="E99" s="4">
        <v>841.12</v>
      </c>
      <c r="F99" s="5">
        <f t="shared" si="1"/>
        <v>93.457777777777778</v>
      </c>
    </row>
    <row r="100" spans="1:6" x14ac:dyDescent="0.25">
      <c r="A100">
        <v>67</v>
      </c>
      <c r="B100" s="4" t="s">
        <v>203</v>
      </c>
      <c r="C100" s="4" t="s">
        <v>200</v>
      </c>
      <c r="D100" s="4">
        <v>18</v>
      </c>
      <c r="E100" s="4">
        <v>1670</v>
      </c>
      <c r="F100" s="5">
        <f t="shared" si="1"/>
        <v>92.777777777777771</v>
      </c>
    </row>
    <row r="101" spans="1:6" x14ac:dyDescent="0.25">
      <c r="A101">
        <v>45</v>
      </c>
      <c r="B101" s="4" t="s">
        <v>204</v>
      </c>
      <c r="C101" s="4" t="s">
        <v>205</v>
      </c>
      <c r="D101" s="4">
        <v>162</v>
      </c>
      <c r="E101" s="4">
        <v>14929.92</v>
      </c>
      <c r="F101" s="5">
        <f t="shared" si="1"/>
        <v>92.16</v>
      </c>
    </row>
    <row r="102" spans="1:6" x14ac:dyDescent="0.25">
      <c r="B102" s="4" t="s">
        <v>206</v>
      </c>
      <c r="C102" s="4" t="s">
        <v>207</v>
      </c>
      <c r="D102" s="4">
        <v>17</v>
      </c>
      <c r="E102" s="4">
        <v>1547</v>
      </c>
      <c r="F102" s="5">
        <f t="shared" si="1"/>
        <v>91</v>
      </c>
    </row>
    <row r="103" spans="1:6" x14ac:dyDescent="0.25">
      <c r="A103">
        <v>528</v>
      </c>
      <c r="B103" s="4" t="s">
        <v>208</v>
      </c>
      <c r="C103" s="4" t="s">
        <v>209</v>
      </c>
      <c r="D103" s="4">
        <v>3</v>
      </c>
      <c r="E103" s="4">
        <v>271.02999999999997</v>
      </c>
      <c r="F103" s="5">
        <f t="shared" si="1"/>
        <v>90.34333333333332</v>
      </c>
    </row>
    <row r="104" spans="1:6" x14ac:dyDescent="0.25">
      <c r="B104" s="4" t="s">
        <v>210</v>
      </c>
      <c r="C104" s="4" t="s">
        <v>189</v>
      </c>
      <c r="D104" s="4">
        <v>110</v>
      </c>
      <c r="E104" s="4">
        <v>9780.4</v>
      </c>
      <c r="F104" s="5">
        <f t="shared" si="1"/>
        <v>88.912727272727267</v>
      </c>
    </row>
    <row r="105" spans="1:6" x14ac:dyDescent="0.25">
      <c r="B105" s="4" t="s">
        <v>211</v>
      </c>
      <c r="C105" s="4" t="s">
        <v>212</v>
      </c>
      <c r="D105" s="4">
        <v>31</v>
      </c>
      <c r="E105" s="4">
        <v>2727.14</v>
      </c>
      <c r="F105" s="5">
        <f t="shared" si="1"/>
        <v>87.972258064516126</v>
      </c>
    </row>
    <row r="106" spans="1:6" x14ac:dyDescent="0.25">
      <c r="A106">
        <v>20</v>
      </c>
      <c r="B106" s="4" t="s">
        <v>213</v>
      </c>
      <c r="C106" s="4" t="s">
        <v>157</v>
      </c>
      <c r="D106" s="4">
        <v>94</v>
      </c>
      <c r="E106" s="4">
        <v>8220.2999999999993</v>
      </c>
      <c r="F106" s="5">
        <f t="shared" si="1"/>
        <v>87.449999999999989</v>
      </c>
    </row>
    <row r="107" spans="1:6" x14ac:dyDescent="0.25">
      <c r="B107" s="4" t="s">
        <v>214</v>
      </c>
      <c r="C107" s="4" t="s">
        <v>215</v>
      </c>
      <c r="D107" s="4">
        <v>1</v>
      </c>
      <c r="E107" s="7">
        <v>87</v>
      </c>
      <c r="F107" s="5">
        <f t="shared" si="1"/>
        <v>87</v>
      </c>
    </row>
    <row r="108" spans="1:6" x14ac:dyDescent="0.25">
      <c r="B108" s="4" t="s">
        <v>216</v>
      </c>
      <c r="C108" s="4" t="s">
        <v>153</v>
      </c>
      <c r="D108" s="4">
        <v>74</v>
      </c>
      <c r="E108" s="4">
        <v>6332.18</v>
      </c>
      <c r="F108" s="5">
        <f t="shared" si="1"/>
        <v>85.570000000000007</v>
      </c>
    </row>
    <row r="109" spans="1:6" x14ac:dyDescent="0.25">
      <c r="A109">
        <v>171</v>
      </c>
      <c r="B109" s="4" t="s">
        <v>217</v>
      </c>
      <c r="C109" s="4" t="s">
        <v>218</v>
      </c>
      <c r="D109" s="4">
        <v>1</v>
      </c>
      <c r="E109" s="7">
        <v>83.65</v>
      </c>
      <c r="F109" s="5">
        <f t="shared" si="1"/>
        <v>83.65</v>
      </c>
    </row>
    <row r="110" spans="1:6" x14ac:dyDescent="0.25">
      <c r="B110" s="4" t="s">
        <v>219</v>
      </c>
      <c r="C110" s="4" t="s">
        <v>220</v>
      </c>
      <c r="D110" s="7">
        <v>4</v>
      </c>
      <c r="E110" s="7">
        <v>334.43</v>
      </c>
      <c r="F110" s="5">
        <f t="shared" si="1"/>
        <v>83.607500000000002</v>
      </c>
    </row>
    <row r="111" spans="1:6" x14ac:dyDescent="0.25">
      <c r="A111">
        <v>215</v>
      </c>
      <c r="B111" s="4" t="s">
        <v>221</v>
      </c>
      <c r="C111" s="4" t="s">
        <v>222</v>
      </c>
      <c r="D111" s="4">
        <v>11</v>
      </c>
      <c r="E111" s="4">
        <v>916.96</v>
      </c>
      <c r="F111" s="5">
        <f t="shared" si="1"/>
        <v>83.36</v>
      </c>
    </row>
    <row r="112" spans="1:6" x14ac:dyDescent="0.25">
      <c r="B112" s="4" t="s">
        <v>223</v>
      </c>
      <c r="C112" s="4" t="s">
        <v>224</v>
      </c>
      <c r="D112" s="4">
        <v>130</v>
      </c>
      <c r="E112" s="4">
        <v>10749.7</v>
      </c>
      <c r="F112" s="5">
        <f t="shared" si="1"/>
        <v>82.690000000000012</v>
      </c>
    </row>
    <row r="113" spans="1:7" x14ac:dyDescent="0.25">
      <c r="A113">
        <v>178</v>
      </c>
      <c r="B113" s="4" t="s">
        <v>225</v>
      </c>
      <c r="C113" s="4" t="s">
        <v>226</v>
      </c>
      <c r="D113" s="4">
        <v>26</v>
      </c>
      <c r="E113" s="4">
        <v>2149.42</v>
      </c>
      <c r="F113" s="5">
        <f t="shared" si="1"/>
        <v>82.67</v>
      </c>
      <c r="G113" t="e">
        <f>+VLOOKUP(B113,'[1]Hoja 1'!$B:$H,7,0)</f>
        <v>#N/A</v>
      </c>
    </row>
    <row r="114" spans="1:7" x14ac:dyDescent="0.25">
      <c r="B114" s="4" t="s">
        <v>227</v>
      </c>
      <c r="C114" s="4" t="s">
        <v>226</v>
      </c>
      <c r="D114" s="4">
        <v>15</v>
      </c>
      <c r="E114" s="4">
        <v>1240.05</v>
      </c>
      <c r="F114" s="5">
        <f t="shared" si="1"/>
        <v>82.67</v>
      </c>
    </row>
    <row r="115" spans="1:7" x14ac:dyDescent="0.25">
      <c r="B115" s="4" t="s">
        <v>228</v>
      </c>
      <c r="C115" s="4" t="s">
        <v>229</v>
      </c>
      <c r="D115" s="4">
        <v>14</v>
      </c>
      <c r="E115" s="4">
        <v>1141.98</v>
      </c>
      <c r="F115" s="5">
        <f t="shared" si="1"/>
        <v>81.570000000000007</v>
      </c>
    </row>
    <row r="116" spans="1:7" x14ac:dyDescent="0.25">
      <c r="B116" s="4" t="s">
        <v>230</v>
      </c>
      <c r="C116" s="4" t="s">
        <v>231</v>
      </c>
      <c r="D116" s="4">
        <v>62</v>
      </c>
      <c r="E116" s="4">
        <v>4936.26</v>
      </c>
      <c r="F116" s="5">
        <f t="shared" si="1"/>
        <v>79.617096774193556</v>
      </c>
    </row>
    <row r="117" spans="1:7" x14ac:dyDescent="0.25">
      <c r="B117" s="4" t="s">
        <v>232</v>
      </c>
      <c r="C117" s="4" t="s">
        <v>233</v>
      </c>
      <c r="D117" s="4">
        <v>11</v>
      </c>
      <c r="E117" s="7">
        <v>840</v>
      </c>
      <c r="F117" s="5">
        <f t="shared" si="1"/>
        <v>76.36363636363636</v>
      </c>
    </row>
    <row r="118" spans="1:7" x14ac:dyDescent="0.25">
      <c r="B118" s="4" t="s">
        <v>234</v>
      </c>
      <c r="C118" s="4" t="s">
        <v>235</v>
      </c>
      <c r="D118" s="4">
        <v>68</v>
      </c>
      <c r="E118" s="4">
        <v>5134.8999999999996</v>
      </c>
      <c r="F118" s="5">
        <f t="shared" si="1"/>
        <v>75.513235294117635</v>
      </c>
    </row>
    <row r="119" spans="1:7" x14ac:dyDescent="0.25">
      <c r="A119">
        <v>155</v>
      </c>
      <c r="B119" s="4" t="s">
        <v>236</v>
      </c>
      <c r="C119" s="4" t="s">
        <v>237</v>
      </c>
      <c r="D119" s="4">
        <v>1</v>
      </c>
      <c r="E119" s="4">
        <v>74.680000000000007</v>
      </c>
      <c r="F119" s="5">
        <f t="shared" si="1"/>
        <v>74.680000000000007</v>
      </c>
      <c r="G119" t="e">
        <f>+VLOOKUP(B119,'[1]Hoja 1'!$B:$H,7,0)</f>
        <v>#N/A</v>
      </c>
    </row>
    <row r="120" spans="1:7" x14ac:dyDescent="0.25">
      <c r="A120">
        <v>354</v>
      </c>
      <c r="B120" s="4" t="s">
        <v>238</v>
      </c>
      <c r="C120" s="4" t="s">
        <v>239</v>
      </c>
      <c r="D120" s="4">
        <v>9</v>
      </c>
      <c r="E120" s="4">
        <v>671.95</v>
      </c>
      <c r="F120" s="5">
        <f t="shared" si="1"/>
        <v>74.661111111111111</v>
      </c>
      <c r="G120" t="e">
        <f>+VLOOKUP(B120,'[1]Hoja 1'!$B:$H,7,0)</f>
        <v>#N/A</v>
      </c>
    </row>
    <row r="121" spans="1:7" x14ac:dyDescent="0.25">
      <c r="B121" s="4" t="s">
        <v>240</v>
      </c>
      <c r="C121" s="4" t="s">
        <v>241</v>
      </c>
      <c r="D121" s="4">
        <v>3</v>
      </c>
      <c r="E121" s="4">
        <v>223.83</v>
      </c>
      <c r="F121" s="5">
        <f t="shared" si="1"/>
        <v>74.61</v>
      </c>
    </row>
    <row r="122" spans="1:7" x14ac:dyDescent="0.25">
      <c r="B122" s="4" t="s">
        <v>242</v>
      </c>
      <c r="C122" s="4" t="s">
        <v>243</v>
      </c>
      <c r="D122" s="4">
        <v>57</v>
      </c>
      <c r="E122" s="4">
        <v>4250.03</v>
      </c>
      <c r="F122" s="5">
        <f t="shared" si="1"/>
        <v>74.561929824561403</v>
      </c>
    </row>
    <row r="123" spans="1:7" x14ac:dyDescent="0.25">
      <c r="B123" s="4" t="s">
        <v>244</v>
      </c>
      <c r="C123" s="4" t="s">
        <v>245</v>
      </c>
      <c r="D123" s="7">
        <v>64</v>
      </c>
      <c r="E123" s="4">
        <v>4752</v>
      </c>
      <c r="F123" s="5">
        <f t="shared" si="1"/>
        <v>74.25</v>
      </c>
    </row>
    <row r="124" spans="1:7" x14ac:dyDescent="0.25">
      <c r="A124">
        <v>504</v>
      </c>
      <c r="B124" s="4" t="s">
        <v>246</v>
      </c>
      <c r="C124" s="4" t="s">
        <v>247</v>
      </c>
      <c r="D124" s="4">
        <v>128</v>
      </c>
      <c r="E124" s="4">
        <v>9415.68</v>
      </c>
      <c r="F124" s="5">
        <f t="shared" si="1"/>
        <v>73.56</v>
      </c>
    </row>
    <row r="125" spans="1:7" x14ac:dyDescent="0.25">
      <c r="B125" s="4" t="s">
        <v>248</v>
      </c>
      <c r="C125" s="4" t="s">
        <v>249</v>
      </c>
      <c r="D125" s="4">
        <v>90</v>
      </c>
      <c r="E125" s="4">
        <v>6353.1</v>
      </c>
      <c r="F125" s="5">
        <f t="shared" si="1"/>
        <v>70.59</v>
      </c>
    </row>
    <row r="126" spans="1:7" x14ac:dyDescent="0.25">
      <c r="B126" s="4" t="s">
        <v>250</v>
      </c>
      <c r="C126" s="4" t="s">
        <v>251</v>
      </c>
      <c r="D126" s="4">
        <v>99</v>
      </c>
      <c r="E126" s="4">
        <v>6914.16</v>
      </c>
      <c r="F126" s="5">
        <f t="shared" si="1"/>
        <v>69.84</v>
      </c>
    </row>
    <row r="127" spans="1:7" x14ac:dyDescent="0.25">
      <c r="B127" s="4" t="s">
        <v>252</v>
      </c>
      <c r="C127" s="4" t="s">
        <v>147</v>
      </c>
      <c r="D127" s="4">
        <v>10</v>
      </c>
      <c r="E127" s="4">
        <v>696.87</v>
      </c>
      <c r="F127" s="5">
        <f t="shared" si="1"/>
        <v>69.686999999999998</v>
      </c>
    </row>
    <row r="128" spans="1:7" x14ac:dyDescent="0.25">
      <c r="B128" s="4" t="s">
        <v>253</v>
      </c>
      <c r="C128" s="4" t="s">
        <v>254</v>
      </c>
      <c r="D128" s="4">
        <v>9</v>
      </c>
      <c r="E128" s="4">
        <v>602.37</v>
      </c>
      <c r="F128" s="5">
        <f t="shared" si="1"/>
        <v>66.930000000000007</v>
      </c>
    </row>
    <row r="129" spans="1:7" x14ac:dyDescent="0.25">
      <c r="B129" s="4" t="s">
        <v>255</v>
      </c>
      <c r="C129" s="4" t="s">
        <v>256</v>
      </c>
      <c r="D129" s="4">
        <v>39</v>
      </c>
      <c r="E129" s="4">
        <v>2582.9299999999998</v>
      </c>
      <c r="F129" s="5">
        <f t="shared" si="1"/>
        <v>66.228974358974355</v>
      </c>
    </row>
    <row r="130" spans="1:7" x14ac:dyDescent="0.25">
      <c r="B130" s="4" t="s">
        <v>257</v>
      </c>
      <c r="C130" s="4" t="s">
        <v>258</v>
      </c>
      <c r="D130" s="4">
        <v>124</v>
      </c>
      <c r="E130" s="4">
        <v>8153</v>
      </c>
      <c r="F130" s="5">
        <f t="shared" ref="F130:F193" si="2">+IFERROR(E130/D130,0)</f>
        <v>65.75</v>
      </c>
    </row>
    <row r="131" spans="1:7" x14ac:dyDescent="0.25">
      <c r="B131" s="4" t="s">
        <v>259</v>
      </c>
      <c r="C131" s="4" t="s">
        <v>260</v>
      </c>
      <c r="D131" s="4">
        <v>192</v>
      </c>
      <c r="E131" s="4">
        <v>12567.94</v>
      </c>
      <c r="F131" s="5">
        <f t="shared" si="2"/>
        <v>65.458020833333336</v>
      </c>
    </row>
    <row r="132" spans="1:7" x14ac:dyDescent="0.25">
      <c r="A132">
        <v>255</v>
      </c>
      <c r="B132" s="4" t="s">
        <v>261</v>
      </c>
      <c r="C132" s="4" t="s">
        <v>262</v>
      </c>
      <c r="D132" s="7">
        <v>35</v>
      </c>
      <c r="E132" s="4">
        <v>2288.06</v>
      </c>
      <c r="F132" s="5">
        <f t="shared" si="2"/>
        <v>65.373142857142852</v>
      </c>
    </row>
    <row r="133" spans="1:7" x14ac:dyDescent="0.25">
      <c r="B133" s="4" t="s">
        <v>263</v>
      </c>
      <c r="C133" s="4" t="s">
        <v>264</v>
      </c>
      <c r="D133" s="4">
        <v>66</v>
      </c>
      <c r="E133" s="4">
        <v>4187.37</v>
      </c>
      <c r="F133" s="5">
        <f t="shared" si="2"/>
        <v>63.445</v>
      </c>
    </row>
    <row r="134" spans="1:7" x14ac:dyDescent="0.25">
      <c r="A134">
        <v>66</v>
      </c>
      <c r="B134" s="4" t="s">
        <v>265</v>
      </c>
      <c r="C134" s="4" t="s">
        <v>266</v>
      </c>
      <c r="D134" s="4">
        <v>26</v>
      </c>
      <c r="E134" s="7">
        <v>1608.14</v>
      </c>
      <c r="F134" s="5">
        <f t="shared" si="2"/>
        <v>61.851538461538468</v>
      </c>
    </row>
    <row r="135" spans="1:7" x14ac:dyDescent="0.25">
      <c r="A135">
        <v>309</v>
      </c>
      <c r="B135" s="4" t="s">
        <v>267</v>
      </c>
      <c r="C135" s="4" t="s">
        <v>268</v>
      </c>
      <c r="D135" s="4">
        <v>3</v>
      </c>
      <c r="E135" s="4">
        <v>183.93</v>
      </c>
      <c r="F135" s="5">
        <f t="shared" si="2"/>
        <v>61.31</v>
      </c>
      <c r="G135" t="e">
        <f>+VLOOKUP(B135,'[1]Hoja 1'!$B:$H,7,0)</f>
        <v>#N/A</v>
      </c>
    </row>
    <row r="136" spans="1:7" x14ac:dyDescent="0.25">
      <c r="B136" s="4" t="s">
        <v>269</v>
      </c>
      <c r="C136" s="4" t="s">
        <v>270</v>
      </c>
      <c r="D136" s="4">
        <v>67</v>
      </c>
      <c r="E136" s="4">
        <v>4089.77</v>
      </c>
      <c r="F136" s="5">
        <f t="shared" si="2"/>
        <v>61.041343283582087</v>
      </c>
    </row>
    <row r="137" spans="1:7" x14ac:dyDescent="0.25">
      <c r="A137">
        <v>174</v>
      </c>
      <c r="B137" s="4" t="s">
        <v>271</v>
      </c>
      <c r="C137" s="4" t="s">
        <v>272</v>
      </c>
      <c r="D137" s="4">
        <v>17</v>
      </c>
      <c r="E137" s="4">
        <v>1035.47</v>
      </c>
      <c r="F137" s="5">
        <f t="shared" si="2"/>
        <v>60.910000000000004</v>
      </c>
    </row>
    <row r="138" spans="1:7" x14ac:dyDescent="0.25">
      <c r="B138" s="4" t="s">
        <v>273</v>
      </c>
      <c r="C138" s="4" t="s">
        <v>274</v>
      </c>
      <c r="D138" s="4">
        <v>11</v>
      </c>
      <c r="E138" s="7">
        <v>666.16</v>
      </c>
      <c r="F138" s="5">
        <f t="shared" si="2"/>
        <v>60.559999999999995</v>
      </c>
    </row>
    <row r="139" spans="1:7" x14ac:dyDescent="0.25">
      <c r="A139">
        <v>323</v>
      </c>
      <c r="B139" s="4" t="s">
        <v>275</v>
      </c>
      <c r="C139" s="4" t="s">
        <v>276</v>
      </c>
      <c r="D139" s="4">
        <v>96</v>
      </c>
      <c r="E139" s="4">
        <v>5810.85</v>
      </c>
      <c r="F139" s="5">
        <f t="shared" si="2"/>
        <v>60.529687500000001</v>
      </c>
    </row>
    <row r="140" spans="1:7" x14ac:dyDescent="0.25">
      <c r="B140" s="4" t="s">
        <v>277</v>
      </c>
      <c r="C140" s="4" t="s">
        <v>278</v>
      </c>
      <c r="D140" s="4">
        <v>2</v>
      </c>
      <c r="E140" s="4">
        <v>120</v>
      </c>
      <c r="F140" s="5">
        <f t="shared" si="2"/>
        <v>60</v>
      </c>
    </row>
    <row r="141" spans="1:7" x14ac:dyDescent="0.25">
      <c r="B141" s="4" t="s">
        <v>279</v>
      </c>
      <c r="C141" s="4" t="s">
        <v>280</v>
      </c>
      <c r="D141" s="4">
        <v>7</v>
      </c>
      <c r="E141" s="7">
        <v>416.99</v>
      </c>
      <c r="F141" s="5">
        <f t="shared" si="2"/>
        <v>59.57</v>
      </c>
    </row>
    <row r="142" spans="1:7" x14ac:dyDescent="0.25">
      <c r="A142">
        <v>15</v>
      </c>
      <c r="B142" s="4" t="s">
        <v>281</v>
      </c>
      <c r="C142" s="4" t="s">
        <v>282</v>
      </c>
      <c r="D142" s="7">
        <v>16</v>
      </c>
      <c r="E142" s="4">
        <v>940.96</v>
      </c>
      <c r="F142" s="5">
        <f t="shared" si="2"/>
        <v>58.81</v>
      </c>
    </row>
    <row r="143" spans="1:7" x14ac:dyDescent="0.25">
      <c r="B143" s="4" t="s">
        <v>283</v>
      </c>
      <c r="C143" s="4" t="s">
        <v>284</v>
      </c>
      <c r="D143" s="4">
        <v>192</v>
      </c>
      <c r="E143" s="4">
        <v>11283.84</v>
      </c>
      <c r="F143" s="5">
        <f t="shared" si="2"/>
        <v>58.77</v>
      </c>
    </row>
    <row r="144" spans="1:7" x14ac:dyDescent="0.25">
      <c r="A144">
        <v>185</v>
      </c>
      <c r="B144" s="4" t="s">
        <v>285</v>
      </c>
      <c r="C144" s="4" t="s">
        <v>286</v>
      </c>
      <c r="D144" s="4">
        <v>55</v>
      </c>
      <c r="E144" s="4">
        <v>3119.64</v>
      </c>
      <c r="F144" s="5">
        <f t="shared" si="2"/>
        <v>56.720727272727274</v>
      </c>
    </row>
    <row r="145" spans="1:7" x14ac:dyDescent="0.25">
      <c r="B145" s="4" t="s">
        <v>287</v>
      </c>
      <c r="C145" s="4" t="s">
        <v>288</v>
      </c>
      <c r="D145" s="4">
        <v>1</v>
      </c>
      <c r="E145" s="4">
        <v>54.75</v>
      </c>
      <c r="F145" s="5">
        <f t="shared" si="2"/>
        <v>54.75</v>
      </c>
    </row>
    <row r="146" spans="1:7" x14ac:dyDescent="0.25">
      <c r="A146">
        <v>184</v>
      </c>
      <c r="B146" s="4" t="s">
        <v>289</v>
      </c>
      <c r="C146" s="4" t="s">
        <v>290</v>
      </c>
      <c r="D146" s="4">
        <v>8</v>
      </c>
      <c r="E146" s="7">
        <v>427.84</v>
      </c>
      <c r="F146" s="5">
        <f t="shared" si="2"/>
        <v>53.48</v>
      </c>
    </row>
    <row r="147" spans="1:7" x14ac:dyDescent="0.25">
      <c r="A147">
        <v>539</v>
      </c>
      <c r="B147" s="4" t="s">
        <v>291</v>
      </c>
      <c r="C147" s="4" t="s">
        <v>292</v>
      </c>
      <c r="D147" s="4">
        <v>74</v>
      </c>
      <c r="E147" s="4">
        <v>3945.68</v>
      </c>
      <c r="F147" s="5">
        <f t="shared" si="2"/>
        <v>53.32</v>
      </c>
      <c r="G147" t="str">
        <f>+VLOOKUP(B147,'[1]Hoja 1'!$B:$H,7,0)</f>
        <v>FUZHOU JYS</v>
      </c>
    </row>
    <row r="148" spans="1:7" x14ac:dyDescent="0.25">
      <c r="B148" s="4" t="s">
        <v>293</v>
      </c>
      <c r="C148" s="4" t="s">
        <v>294</v>
      </c>
      <c r="D148" s="4">
        <v>49</v>
      </c>
      <c r="E148" s="4">
        <v>2593.08</v>
      </c>
      <c r="F148" s="5">
        <f t="shared" si="2"/>
        <v>52.92</v>
      </c>
    </row>
    <row r="149" spans="1:7" x14ac:dyDescent="0.25">
      <c r="A149">
        <v>297</v>
      </c>
      <c r="B149" s="4" t="s">
        <v>295</v>
      </c>
      <c r="C149" s="4" t="s">
        <v>296</v>
      </c>
      <c r="D149" s="4">
        <v>11</v>
      </c>
      <c r="E149" s="4">
        <v>561.22</v>
      </c>
      <c r="F149" s="5">
        <f t="shared" si="2"/>
        <v>51.02</v>
      </c>
    </row>
    <row r="150" spans="1:7" x14ac:dyDescent="0.25">
      <c r="B150" s="4" t="s">
        <v>297</v>
      </c>
      <c r="C150" s="4" t="s">
        <v>298</v>
      </c>
      <c r="D150" s="4">
        <v>36</v>
      </c>
      <c r="E150" s="7">
        <v>1800</v>
      </c>
      <c r="F150" s="5">
        <f t="shared" si="2"/>
        <v>50</v>
      </c>
    </row>
    <row r="151" spans="1:7" x14ac:dyDescent="0.25">
      <c r="A151">
        <v>403</v>
      </c>
      <c r="B151" s="4" t="s">
        <v>299</v>
      </c>
      <c r="C151" s="4" t="s">
        <v>300</v>
      </c>
      <c r="D151" s="4">
        <v>4</v>
      </c>
      <c r="E151" s="7">
        <v>200</v>
      </c>
      <c r="F151" s="5">
        <f t="shared" si="2"/>
        <v>50</v>
      </c>
    </row>
    <row r="152" spans="1:7" x14ac:dyDescent="0.25">
      <c r="B152" s="4" t="s">
        <v>301</v>
      </c>
      <c r="C152" s="4" t="s">
        <v>302</v>
      </c>
      <c r="D152" s="4">
        <v>29</v>
      </c>
      <c r="E152" s="7">
        <v>1449.79</v>
      </c>
      <c r="F152" s="5">
        <f t="shared" si="2"/>
        <v>49.992758620689656</v>
      </c>
    </row>
    <row r="153" spans="1:7" x14ac:dyDescent="0.25">
      <c r="A153">
        <v>471</v>
      </c>
      <c r="B153" s="4" t="s">
        <v>303</v>
      </c>
      <c r="C153" s="4" t="s">
        <v>304</v>
      </c>
      <c r="D153" s="4">
        <v>74</v>
      </c>
      <c r="E153" s="4">
        <v>3681.32</v>
      </c>
      <c r="F153" s="5">
        <f t="shared" si="2"/>
        <v>49.747567567567572</v>
      </c>
    </row>
    <row r="154" spans="1:7" x14ac:dyDescent="0.25">
      <c r="A154">
        <v>248</v>
      </c>
      <c r="B154" s="4" t="s">
        <v>305</v>
      </c>
      <c r="C154" s="4" t="s">
        <v>306</v>
      </c>
      <c r="D154" s="4">
        <v>90</v>
      </c>
      <c r="E154" s="4">
        <v>4459.5</v>
      </c>
      <c r="F154" s="5">
        <f t="shared" si="2"/>
        <v>49.55</v>
      </c>
    </row>
    <row r="155" spans="1:7" x14ac:dyDescent="0.25">
      <c r="A155">
        <v>432</v>
      </c>
      <c r="B155" s="4" t="s">
        <v>307</v>
      </c>
      <c r="C155" s="4" t="s">
        <v>308</v>
      </c>
      <c r="D155" s="4">
        <v>15</v>
      </c>
      <c r="E155" s="4">
        <v>706.95</v>
      </c>
      <c r="F155" s="5">
        <f t="shared" si="2"/>
        <v>47.13</v>
      </c>
      <c r="G155" t="e">
        <f>+VLOOKUP(B155,'[1]Hoja 1'!$B:$H,7,0)</f>
        <v>#N/A</v>
      </c>
    </row>
    <row r="156" spans="1:7" x14ac:dyDescent="0.25">
      <c r="B156" s="4" t="s">
        <v>309</v>
      </c>
      <c r="C156" s="4" t="s">
        <v>310</v>
      </c>
      <c r="D156" s="4">
        <v>69</v>
      </c>
      <c r="E156" s="4">
        <v>3214.39</v>
      </c>
      <c r="F156" s="5">
        <f t="shared" si="2"/>
        <v>46.585362318840581</v>
      </c>
    </row>
    <row r="157" spans="1:7" x14ac:dyDescent="0.25">
      <c r="B157" s="4" t="s">
        <v>311</v>
      </c>
      <c r="C157" s="4" t="s">
        <v>312</v>
      </c>
      <c r="D157" s="4">
        <v>72</v>
      </c>
      <c r="E157" s="4">
        <v>3312</v>
      </c>
      <c r="F157" s="5">
        <f t="shared" si="2"/>
        <v>46</v>
      </c>
    </row>
    <row r="158" spans="1:7" x14ac:dyDescent="0.25">
      <c r="B158" s="4" t="s">
        <v>313</v>
      </c>
      <c r="C158" s="4" t="s">
        <v>314</v>
      </c>
      <c r="D158" s="4">
        <v>28</v>
      </c>
      <c r="E158" s="4">
        <v>1247.02</v>
      </c>
      <c r="F158" s="5">
        <f t="shared" si="2"/>
        <v>44.536428571428573</v>
      </c>
    </row>
    <row r="159" spans="1:7" x14ac:dyDescent="0.25">
      <c r="B159" s="4" t="s">
        <v>315</v>
      </c>
      <c r="C159" s="4" t="s">
        <v>316</v>
      </c>
      <c r="D159" s="4">
        <v>73</v>
      </c>
      <c r="E159" s="4">
        <v>3233.17</v>
      </c>
      <c r="F159" s="5">
        <f t="shared" si="2"/>
        <v>44.29</v>
      </c>
    </row>
    <row r="160" spans="1:7" x14ac:dyDescent="0.25">
      <c r="A160">
        <v>64</v>
      </c>
      <c r="B160" s="4" t="s">
        <v>317</v>
      </c>
      <c r="C160" s="4" t="s">
        <v>318</v>
      </c>
      <c r="D160" s="4">
        <v>29</v>
      </c>
      <c r="E160" s="4">
        <v>1276</v>
      </c>
      <c r="F160" s="5">
        <f t="shared" si="2"/>
        <v>44</v>
      </c>
    </row>
    <row r="161" spans="1:7" x14ac:dyDescent="0.25">
      <c r="B161" s="4" t="s">
        <v>319</v>
      </c>
      <c r="C161" s="4" t="s">
        <v>320</v>
      </c>
      <c r="D161" s="7">
        <v>104</v>
      </c>
      <c r="E161" s="4">
        <v>4563.8100000000004</v>
      </c>
      <c r="F161" s="5">
        <f t="shared" si="2"/>
        <v>43.882788461538468</v>
      </c>
    </row>
    <row r="162" spans="1:7" x14ac:dyDescent="0.25">
      <c r="A162">
        <v>465</v>
      </c>
      <c r="B162" s="4" t="s">
        <v>321</v>
      </c>
      <c r="C162" s="4" t="s">
        <v>322</v>
      </c>
      <c r="D162" s="4">
        <v>19</v>
      </c>
      <c r="E162" s="4">
        <v>827.64</v>
      </c>
      <c r="F162" s="5">
        <f t="shared" si="2"/>
        <v>43.56</v>
      </c>
    </row>
    <row r="163" spans="1:7" x14ac:dyDescent="0.25">
      <c r="A163">
        <v>413</v>
      </c>
      <c r="B163" s="4" t="s">
        <v>323</v>
      </c>
      <c r="C163" s="4" t="s">
        <v>324</v>
      </c>
      <c r="D163" s="4">
        <v>7</v>
      </c>
      <c r="E163" s="4">
        <v>304.11</v>
      </c>
      <c r="F163" s="5">
        <f t="shared" si="2"/>
        <v>43.444285714285719</v>
      </c>
    </row>
    <row r="164" spans="1:7" x14ac:dyDescent="0.25">
      <c r="B164" s="4" t="s">
        <v>325</v>
      </c>
      <c r="C164" s="4" t="s">
        <v>326</v>
      </c>
      <c r="D164" s="4">
        <v>441</v>
      </c>
      <c r="E164" s="4">
        <v>18830.259999999998</v>
      </c>
      <c r="F164" s="5">
        <f t="shared" si="2"/>
        <v>42.69900226757369</v>
      </c>
    </row>
    <row r="165" spans="1:7" x14ac:dyDescent="0.25">
      <c r="B165" s="4" t="s">
        <v>327</v>
      </c>
      <c r="C165" s="4" t="s">
        <v>328</v>
      </c>
      <c r="D165" s="4">
        <v>3</v>
      </c>
      <c r="E165" s="4">
        <v>126.61</v>
      </c>
      <c r="F165" s="5">
        <f t="shared" si="2"/>
        <v>42.203333333333333</v>
      </c>
    </row>
    <row r="166" spans="1:7" x14ac:dyDescent="0.25">
      <c r="B166" s="4" t="s">
        <v>329</v>
      </c>
      <c r="C166" s="4" t="s">
        <v>330</v>
      </c>
      <c r="D166" s="4">
        <v>27</v>
      </c>
      <c r="E166" s="4">
        <v>1139.48</v>
      </c>
      <c r="F166" s="5">
        <f t="shared" si="2"/>
        <v>42.202962962962964</v>
      </c>
    </row>
    <row r="167" spans="1:7" x14ac:dyDescent="0.25">
      <c r="A167">
        <v>339</v>
      </c>
      <c r="B167" s="4" t="s">
        <v>331</v>
      </c>
      <c r="C167" s="4" t="s">
        <v>332</v>
      </c>
      <c r="D167" s="4">
        <v>103</v>
      </c>
      <c r="E167" s="4">
        <v>4301.28</v>
      </c>
      <c r="F167" s="5">
        <f t="shared" si="2"/>
        <v>41.76</v>
      </c>
      <c r="G167" t="e">
        <f>+VLOOKUP(B167,'[1]Hoja 1'!$B:$H,7,0)</f>
        <v>#N/A</v>
      </c>
    </row>
    <row r="168" spans="1:7" x14ac:dyDescent="0.25">
      <c r="B168" s="4" t="s">
        <v>333</v>
      </c>
      <c r="C168" s="4" t="s">
        <v>334</v>
      </c>
      <c r="D168" s="4">
        <v>6</v>
      </c>
      <c r="E168" s="4">
        <v>246.89</v>
      </c>
      <c r="F168" s="5">
        <f t="shared" si="2"/>
        <v>41.148333333333333</v>
      </c>
    </row>
    <row r="169" spans="1:7" x14ac:dyDescent="0.25">
      <c r="A169">
        <v>119</v>
      </c>
      <c r="B169" s="4" t="s">
        <v>335</v>
      </c>
      <c r="C169" s="4" t="s">
        <v>336</v>
      </c>
      <c r="D169" s="4">
        <v>24</v>
      </c>
      <c r="E169" s="4">
        <v>984</v>
      </c>
      <c r="F169" s="5">
        <f t="shared" si="2"/>
        <v>41</v>
      </c>
      <c r="G169" t="e">
        <f>+VLOOKUP(B169,'[1]Hoja 1'!$B:$H,7,0)</f>
        <v>#N/A</v>
      </c>
    </row>
    <row r="170" spans="1:7" x14ac:dyDescent="0.25">
      <c r="B170" s="4" t="s">
        <v>337</v>
      </c>
      <c r="C170" s="4" t="s">
        <v>338</v>
      </c>
      <c r="D170" s="4">
        <v>6</v>
      </c>
      <c r="E170" s="4">
        <v>240.84</v>
      </c>
      <c r="F170" s="5">
        <f t="shared" si="2"/>
        <v>40.14</v>
      </c>
    </row>
    <row r="171" spans="1:7" x14ac:dyDescent="0.25">
      <c r="B171" s="4" t="s">
        <v>339</v>
      </c>
      <c r="C171" s="4" t="s">
        <v>340</v>
      </c>
      <c r="D171" s="4">
        <v>98</v>
      </c>
      <c r="E171" s="4">
        <v>3920</v>
      </c>
      <c r="F171" s="5">
        <f t="shared" si="2"/>
        <v>40</v>
      </c>
    </row>
    <row r="172" spans="1:7" x14ac:dyDescent="0.25">
      <c r="B172" s="4" t="s">
        <v>341</v>
      </c>
      <c r="C172" s="4" t="s">
        <v>342</v>
      </c>
      <c r="D172" s="4">
        <v>1</v>
      </c>
      <c r="E172" s="7">
        <v>40</v>
      </c>
      <c r="F172" s="5">
        <f t="shared" si="2"/>
        <v>40</v>
      </c>
    </row>
    <row r="173" spans="1:7" x14ac:dyDescent="0.25">
      <c r="B173" s="4" t="s">
        <v>343</v>
      </c>
      <c r="C173" s="4" t="s">
        <v>344</v>
      </c>
      <c r="D173" s="4">
        <v>1</v>
      </c>
      <c r="E173" s="7">
        <v>40</v>
      </c>
      <c r="F173" s="5">
        <f t="shared" si="2"/>
        <v>40</v>
      </c>
    </row>
    <row r="174" spans="1:7" x14ac:dyDescent="0.25">
      <c r="A174">
        <v>244</v>
      </c>
      <c r="B174" s="4" t="s">
        <v>345</v>
      </c>
      <c r="C174" s="4" t="s">
        <v>346</v>
      </c>
      <c r="D174" s="4">
        <v>1</v>
      </c>
      <c r="E174" s="7">
        <v>40</v>
      </c>
      <c r="F174" s="5">
        <f t="shared" si="2"/>
        <v>40</v>
      </c>
    </row>
    <row r="175" spans="1:7" x14ac:dyDescent="0.25">
      <c r="A175">
        <v>524</v>
      </c>
      <c r="B175" s="4" t="s">
        <v>347</v>
      </c>
      <c r="C175" s="4" t="s">
        <v>348</v>
      </c>
      <c r="D175" s="4">
        <v>26</v>
      </c>
      <c r="E175" s="4">
        <v>1034.8</v>
      </c>
      <c r="F175" s="5">
        <f t="shared" si="2"/>
        <v>39.799999999999997</v>
      </c>
    </row>
    <row r="176" spans="1:7" x14ac:dyDescent="0.25">
      <c r="B176" s="4" t="s">
        <v>349</v>
      </c>
      <c r="C176" s="4" t="s">
        <v>350</v>
      </c>
      <c r="D176" s="4">
        <v>7</v>
      </c>
      <c r="E176" s="7">
        <v>276.92</v>
      </c>
      <c r="F176" s="5">
        <f t="shared" si="2"/>
        <v>39.56</v>
      </c>
    </row>
    <row r="177" spans="1:6" x14ac:dyDescent="0.25">
      <c r="B177" s="4" t="s">
        <v>351</v>
      </c>
      <c r="C177" s="4" t="s">
        <v>352</v>
      </c>
      <c r="D177" s="4">
        <v>4</v>
      </c>
      <c r="E177" s="4">
        <v>157.75</v>
      </c>
      <c r="F177" s="5">
        <f t="shared" si="2"/>
        <v>39.4375</v>
      </c>
    </row>
    <row r="178" spans="1:6" x14ac:dyDescent="0.25">
      <c r="B178" s="4" t="s">
        <v>353</v>
      </c>
      <c r="C178" s="4" t="s">
        <v>354</v>
      </c>
      <c r="D178" s="4">
        <v>156</v>
      </c>
      <c r="E178" s="4">
        <v>6135.56</v>
      </c>
      <c r="F178" s="5">
        <f t="shared" si="2"/>
        <v>39.330512820512823</v>
      </c>
    </row>
    <row r="179" spans="1:6" x14ac:dyDescent="0.25">
      <c r="B179" s="4" t="s">
        <v>355</v>
      </c>
      <c r="C179" s="4" t="s">
        <v>356</v>
      </c>
      <c r="D179" s="4">
        <v>51</v>
      </c>
      <c r="E179" s="4">
        <v>1974.72</v>
      </c>
      <c r="F179" s="5">
        <f t="shared" si="2"/>
        <v>38.72</v>
      </c>
    </row>
    <row r="180" spans="1:6" x14ac:dyDescent="0.25">
      <c r="B180" s="4" t="s">
        <v>357</v>
      </c>
      <c r="C180" s="4" t="s">
        <v>358</v>
      </c>
      <c r="D180" s="4">
        <v>375</v>
      </c>
      <c r="E180" s="4">
        <v>14420.24</v>
      </c>
      <c r="F180" s="5">
        <f t="shared" si="2"/>
        <v>38.45397333333333</v>
      </c>
    </row>
    <row r="181" spans="1:6" x14ac:dyDescent="0.25">
      <c r="A181">
        <v>379</v>
      </c>
      <c r="B181" s="4" t="s">
        <v>359</v>
      </c>
      <c r="C181" s="4" t="s">
        <v>360</v>
      </c>
      <c r="D181" s="4">
        <v>58</v>
      </c>
      <c r="E181" s="4">
        <v>2229.64</v>
      </c>
      <c r="F181" s="5">
        <f t="shared" si="2"/>
        <v>38.442068965517237</v>
      </c>
    </row>
    <row r="182" spans="1:6" x14ac:dyDescent="0.25">
      <c r="B182" s="4" t="s">
        <v>361</v>
      </c>
      <c r="C182" s="4" t="s">
        <v>362</v>
      </c>
      <c r="D182" s="4">
        <v>58</v>
      </c>
      <c r="E182" s="4">
        <v>2212.12</v>
      </c>
      <c r="F182" s="5">
        <f t="shared" si="2"/>
        <v>38.14</v>
      </c>
    </row>
    <row r="183" spans="1:6" x14ac:dyDescent="0.25">
      <c r="B183" s="4" t="s">
        <v>363</v>
      </c>
      <c r="C183" s="4" t="s">
        <v>364</v>
      </c>
      <c r="D183" s="4">
        <v>10</v>
      </c>
      <c r="E183" s="4">
        <v>376.7</v>
      </c>
      <c r="F183" s="5">
        <f t="shared" si="2"/>
        <v>37.67</v>
      </c>
    </row>
    <row r="184" spans="1:6" x14ac:dyDescent="0.25">
      <c r="B184" s="4" t="s">
        <v>365</v>
      </c>
      <c r="C184" s="4" t="s">
        <v>366</v>
      </c>
      <c r="D184" s="4">
        <v>14</v>
      </c>
      <c r="E184" s="4">
        <v>523.74</v>
      </c>
      <c r="F184" s="5">
        <f t="shared" si="2"/>
        <v>37.410000000000004</v>
      </c>
    </row>
    <row r="185" spans="1:6" x14ac:dyDescent="0.25">
      <c r="B185" s="4" t="s">
        <v>367</v>
      </c>
      <c r="C185" s="4" t="s">
        <v>368</v>
      </c>
      <c r="D185" s="4">
        <v>24</v>
      </c>
      <c r="E185" s="4">
        <v>882</v>
      </c>
      <c r="F185" s="5">
        <f t="shared" si="2"/>
        <v>36.75</v>
      </c>
    </row>
    <row r="186" spans="1:6" x14ac:dyDescent="0.25">
      <c r="B186" s="4" t="s">
        <v>369</v>
      </c>
      <c r="C186" s="4" t="s">
        <v>370</v>
      </c>
      <c r="D186" s="4">
        <v>16</v>
      </c>
      <c r="E186" s="4">
        <v>586.08000000000004</v>
      </c>
      <c r="F186" s="5">
        <f t="shared" si="2"/>
        <v>36.630000000000003</v>
      </c>
    </row>
    <row r="187" spans="1:6" x14ac:dyDescent="0.25">
      <c r="B187" s="4" t="s">
        <v>371</v>
      </c>
      <c r="C187" s="4" t="s">
        <v>372</v>
      </c>
      <c r="D187" s="4">
        <v>1</v>
      </c>
      <c r="E187" s="4">
        <v>36.409999999999997</v>
      </c>
      <c r="F187" s="5">
        <f t="shared" si="2"/>
        <v>36.409999999999997</v>
      </c>
    </row>
    <row r="188" spans="1:6" x14ac:dyDescent="0.25">
      <c r="B188" s="4" t="s">
        <v>373</v>
      </c>
      <c r="C188" s="4" t="s">
        <v>374</v>
      </c>
      <c r="D188" s="4">
        <v>211</v>
      </c>
      <c r="E188" s="4">
        <v>7625.7</v>
      </c>
      <c r="F188" s="5">
        <f t="shared" si="2"/>
        <v>36.140758293838864</v>
      </c>
    </row>
    <row r="189" spans="1:6" x14ac:dyDescent="0.25">
      <c r="B189" s="4" t="s">
        <v>375</v>
      </c>
      <c r="C189" s="4" t="s">
        <v>376</v>
      </c>
      <c r="D189" s="4">
        <v>4</v>
      </c>
      <c r="E189" s="7">
        <v>144.13999999999999</v>
      </c>
      <c r="F189" s="5">
        <f t="shared" si="2"/>
        <v>36.034999999999997</v>
      </c>
    </row>
    <row r="190" spans="1:6" x14ac:dyDescent="0.25">
      <c r="A190">
        <v>150</v>
      </c>
      <c r="B190" s="4" t="s">
        <v>377</v>
      </c>
      <c r="C190" s="4" t="s">
        <v>378</v>
      </c>
      <c r="D190" s="4">
        <v>61</v>
      </c>
      <c r="E190" s="4">
        <v>2196</v>
      </c>
      <c r="F190" s="5">
        <f t="shared" si="2"/>
        <v>36</v>
      </c>
    </row>
    <row r="191" spans="1:6" x14ac:dyDescent="0.25">
      <c r="A191">
        <v>417</v>
      </c>
      <c r="B191" s="4" t="s">
        <v>379</v>
      </c>
      <c r="C191" s="4" t="s">
        <v>380</v>
      </c>
      <c r="D191" s="4">
        <v>22</v>
      </c>
      <c r="E191" s="7">
        <v>782.89</v>
      </c>
      <c r="F191" s="5">
        <f t="shared" si="2"/>
        <v>35.585909090909091</v>
      </c>
    </row>
    <row r="192" spans="1:6" x14ac:dyDescent="0.25">
      <c r="A192">
        <v>234</v>
      </c>
      <c r="B192" s="4" t="s">
        <v>381</v>
      </c>
      <c r="C192" s="4" t="s">
        <v>382</v>
      </c>
      <c r="D192" s="4">
        <v>796</v>
      </c>
      <c r="E192" s="4">
        <v>28169.65</v>
      </c>
      <c r="F192" s="5">
        <f t="shared" si="2"/>
        <v>35.389007537688443</v>
      </c>
    </row>
    <row r="193" spans="1:7" x14ac:dyDescent="0.25">
      <c r="B193" s="4" t="s">
        <v>383</v>
      </c>
      <c r="C193" s="4" t="s">
        <v>384</v>
      </c>
      <c r="D193" s="4">
        <v>75</v>
      </c>
      <c r="E193" s="4">
        <v>2645.35</v>
      </c>
      <c r="F193" s="5">
        <f t="shared" si="2"/>
        <v>35.271333333333331</v>
      </c>
    </row>
    <row r="194" spans="1:7" x14ac:dyDescent="0.25">
      <c r="B194" s="4" t="s">
        <v>385</v>
      </c>
      <c r="C194" s="4" t="s">
        <v>386</v>
      </c>
      <c r="D194" s="4">
        <v>8</v>
      </c>
      <c r="E194" s="4">
        <v>280.72000000000003</v>
      </c>
      <c r="F194" s="5">
        <f t="shared" ref="F194:F257" si="3">+IFERROR(E194/D194,0)</f>
        <v>35.090000000000003</v>
      </c>
    </row>
    <row r="195" spans="1:7" x14ac:dyDescent="0.25">
      <c r="B195" s="4" t="s">
        <v>387</v>
      </c>
      <c r="C195" s="4" t="s">
        <v>388</v>
      </c>
      <c r="D195" s="4">
        <v>4</v>
      </c>
      <c r="E195" s="4">
        <v>140.36000000000001</v>
      </c>
      <c r="F195" s="5">
        <f t="shared" si="3"/>
        <v>35.090000000000003</v>
      </c>
    </row>
    <row r="196" spans="1:7" x14ac:dyDescent="0.25">
      <c r="A196">
        <v>41</v>
      </c>
      <c r="B196" s="4" t="s">
        <v>389</v>
      </c>
      <c r="C196" s="4" t="s">
        <v>390</v>
      </c>
      <c r="D196" s="7">
        <v>9</v>
      </c>
      <c r="E196" s="7">
        <v>313.2</v>
      </c>
      <c r="F196" s="5">
        <f t="shared" si="3"/>
        <v>34.799999999999997</v>
      </c>
    </row>
    <row r="197" spans="1:7" x14ac:dyDescent="0.25">
      <c r="B197" s="4" t="s">
        <v>391</v>
      </c>
      <c r="C197" s="4" t="s">
        <v>392</v>
      </c>
      <c r="D197" s="4">
        <v>327</v>
      </c>
      <c r="E197" s="4">
        <v>10976.35</v>
      </c>
      <c r="F197" s="5">
        <f t="shared" si="3"/>
        <v>33.566819571865445</v>
      </c>
    </row>
    <row r="198" spans="1:7" x14ac:dyDescent="0.25">
      <c r="B198" s="4" t="s">
        <v>393</v>
      </c>
      <c r="C198" s="4" t="s">
        <v>394</v>
      </c>
      <c r="D198" s="4">
        <v>565</v>
      </c>
      <c r="E198" s="4">
        <v>18927.5</v>
      </c>
      <c r="F198" s="5">
        <f t="shared" si="3"/>
        <v>33.5</v>
      </c>
    </row>
    <row r="199" spans="1:7" x14ac:dyDescent="0.25">
      <c r="B199" s="4" t="s">
        <v>395</v>
      </c>
      <c r="C199" s="4" t="s">
        <v>396</v>
      </c>
      <c r="D199" s="7">
        <v>171</v>
      </c>
      <c r="E199" s="4">
        <v>5688.06</v>
      </c>
      <c r="F199" s="5">
        <f t="shared" si="3"/>
        <v>33.263508771929828</v>
      </c>
    </row>
    <row r="200" spans="1:7" x14ac:dyDescent="0.25">
      <c r="A200">
        <v>509</v>
      </c>
      <c r="B200" s="4" t="s">
        <v>397</v>
      </c>
      <c r="C200" s="4" t="s">
        <v>398</v>
      </c>
      <c r="D200" s="4">
        <v>7</v>
      </c>
      <c r="E200" s="7">
        <v>229.43</v>
      </c>
      <c r="F200" s="5">
        <f t="shared" si="3"/>
        <v>32.775714285714287</v>
      </c>
      <c r="G200" t="e">
        <f>+VLOOKUP(B200,'[1]Hoja 1'!$B:$H,7,0)</f>
        <v>#N/A</v>
      </c>
    </row>
    <row r="201" spans="1:7" x14ac:dyDescent="0.25">
      <c r="B201" s="4" t="s">
        <v>399</v>
      </c>
      <c r="C201" s="4" t="s">
        <v>400</v>
      </c>
      <c r="D201" s="4">
        <v>5</v>
      </c>
      <c r="E201" s="7">
        <v>163.1</v>
      </c>
      <c r="F201" s="5">
        <f t="shared" si="3"/>
        <v>32.619999999999997</v>
      </c>
    </row>
    <row r="202" spans="1:7" x14ac:dyDescent="0.25">
      <c r="B202" s="4" t="s">
        <v>401</v>
      </c>
      <c r="C202" s="4" t="s">
        <v>402</v>
      </c>
      <c r="D202" s="4">
        <v>5</v>
      </c>
      <c r="E202" s="7">
        <v>162.85</v>
      </c>
      <c r="F202" s="5">
        <f t="shared" si="3"/>
        <v>32.57</v>
      </c>
    </row>
    <row r="203" spans="1:7" x14ac:dyDescent="0.25">
      <c r="A203">
        <v>429</v>
      </c>
      <c r="B203" s="4" t="s">
        <v>403</v>
      </c>
      <c r="C203" s="4" t="s">
        <v>404</v>
      </c>
      <c r="D203" s="4">
        <v>21</v>
      </c>
      <c r="E203" s="4">
        <v>677.56</v>
      </c>
      <c r="F203" s="5">
        <f t="shared" si="3"/>
        <v>32.264761904761905</v>
      </c>
      <c r="G203" t="e">
        <f>+VLOOKUP(B203,'[1]Hoja 1'!$B:$H,7,0)</f>
        <v>#N/A</v>
      </c>
    </row>
    <row r="204" spans="1:7" x14ac:dyDescent="0.25">
      <c r="A204">
        <v>535</v>
      </c>
      <c r="B204" s="4" t="s">
        <v>405</v>
      </c>
      <c r="C204" s="4" t="s">
        <v>406</v>
      </c>
      <c r="D204" s="4">
        <v>29</v>
      </c>
      <c r="E204" s="7">
        <v>919.99</v>
      </c>
      <c r="F204" s="5">
        <f t="shared" si="3"/>
        <v>31.723793103448276</v>
      </c>
    </row>
    <row r="205" spans="1:7" x14ac:dyDescent="0.25">
      <c r="B205" s="4" t="s">
        <v>407</v>
      </c>
      <c r="C205" s="4" t="s">
        <v>408</v>
      </c>
      <c r="D205" s="4">
        <v>94</v>
      </c>
      <c r="E205" s="7">
        <v>2956.3</v>
      </c>
      <c r="F205" s="5">
        <f t="shared" si="3"/>
        <v>31.450000000000003</v>
      </c>
    </row>
    <row r="206" spans="1:7" x14ac:dyDescent="0.25">
      <c r="B206" s="4" t="s">
        <v>409</v>
      </c>
      <c r="C206" s="4" t="s">
        <v>410</v>
      </c>
      <c r="D206" s="4">
        <v>61</v>
      </c>
      <c r="E206" s="4">
        <v>1915.09</v>
      </c>
      <c r="F206" s="5">
        <f t="shared" si="3"/>
        <v>31.394918032786883</v>
      </c>
    </row>
    <row r="207" spans="1:7" x14ac:dyDescent="0.25">
      <c r="A207">
        <v>399</v>
      </c>
      <c r="B207" s="4" t="s">
        <v>411</v>
      </c>
      <c r="C207" s="4" t="s">
        <v>412</v>
      </c>
      <c r="D207" s="4">
        <v>171</v>
      </c>
      <c r="E207" s="4">
        <v>5294.16</v>
      </c>
      <c r="F207" s="5">
        <f t="shared" si="3"/>
        <v>30.96</v>
      </c>
    </row>
    <row r="208" spans="1:7" x14ac:dyDescent="0.25">
      <c r="A208">
        <v>480</v>
      </c>
      <c r="B208" s="4" t="s">
        <v>413</v>
      </c>
      <c r="C208" s="4" t="s">
        <v>414</v>
      </c>
      <c r="D208" s="4">
        <v>92</v>
      </c>
      <c r="E208" s="4">
        <v>2784.83</v>
      </c>
      <c r="F208" s="5">
        <f t="shared" si="3"/>
        <v>30.269891304347826</v>
      </c>
    </row>
    <row r="209" spans="1:6" x14ac:dyDescent="0.25">
      <c r="A209">
        <v>71</v>
      </c>
      <c r="B209" s="4" t="s">
        <v>415</v>
      </c>
      <c r="C209" s="4" t="s">
        <v>416</v>
      </c>
      <c r="D209" s="4">
        <v>33</v>
      </c>
      <c r="E209" s="7">
        <v>995.94</v>
      </c>
      <c r="F209" s="5">
        <f t="shared" si="3"/>
        <v>30.180000000000003</v>
      </c>
    </row>
    <row r="210" spans="1:6" x14ac:dyDescent="0.25">
      <c r="A210">
        <v>287</v>
      </c>
      <c r="B210" s="4" t="s">
        <v>417</v>
      </c>
      <c r="C210" s="4" t="s">
        <v>418</v>
      </c>
      <c r="D210" s="4">
        <v>8</v>
      </c>
      <c r="E210" s="7">
        <v>238.96</v>
      </c>
      <c r="F210" s="5">
        <f t="shared" si="3"/>
        <v>29.87</v>
      </c>
    </row>
    <row r="211" spans="1:6" x14ac:dyDescent="0.25">
      <c r="B211" s="4" t="s">
        <v>419</v>
      </c>
      <c r="C211" s="4" t="s">
        <v>420</v>
      </c>
      <c r="D211" s="4">
        <v>153</v>
      </c>
      <c r="E211" s="4">
        <v>4546.2</v>
      </c>
      <c r="F211" s="5">
        <f t="shared" si="3"/>
        <v>29.713725490196076</v>
      </c>
    </row>
    <row r="212" spans="1:6" x14ac:dyDescent="0.25">
      <c r="B212" s="4" t="s">
        <v>421</v>
      </c>
      <c r="C212" s="4" t="s">
        <v>422</v>
      </c>
      <c r="D212" s="4">
        <v>28</v>
      </c>
      <c r="E212" s="4">
        <v>823.96</v>
      </c>
      <c r="F212" s="5">
        <f t="shared" si="3"/>
        <v>29.427142857142858</v>
      </c>
    </row>
    <row r="213" spans="1:6" x14ac:dyDescent="0.25">
      <c r="A213">
        <v>502</v>
      </c>
      <c r="B213" s="4" t="s">
        <v>423</v>
      </c>
      <c r="C213" s="4" t="s">
        <v>424</v>
      </c>
      <c r="D213" s="4">
        <v>57</v>
      </c>
      <c r="E213" s="4">
        <v>1677.34</v>
      </c>
      <c r="F213" s="5">
        <f t="shared" si="3"/>
        <v>29.427017543859648</v>
      </c>
    </row>
    <row r="214" spans="1:6" x14ac:dyDescent="0.25">
      <c r="B214" s="4" t="s">
        <v>425</v>
      </c>
      <c r="C214" s="4" t="s">
        <v>426</v>
      </c>
      <c r="D214" s="4">
        <v>56</v>
      </c>
      <c r="E214" s="4">
        <v>1647.91</v>
      </c>
      <c r="F214" s="5">
        <f t="shared" si="3"/>
        <v>29.426964285714288</v>
      </c>
    </row>
    <row r="215" spans="1:6" x14ac:dyDescent="0.25">
      <c r="A215">
        <v>153</v>
      </c>
      <c r="B215" s="4" t="s">
        <v>427</v>
      </c>
      <c r="C215" s="4" t="s">
        <v>428</v>
      </c>
      <c r="D215" s="4">
        <v>425</v>
      </c>
      <c r="E215" s="4">
        <v>12377.87</v>
      </c>
      <c r="F215" s="5">
        <f t="shared" si="3"/>
        <v>29.124400000000001</v>
      </c>
    </row>
    <row r="216" spans="1:6" x14ac:dyDescent="0.25">
      <c r="B216" s="4" t="s">
        <v>429</v>
      </c>
      <c r="C216" s="4" t="s">
        <v>430</v>
      </c>
      <c r="D216" s="4">
        <v>25</v>
      </c>
      <c r="E216" s="4">
        <v>725.5</v>
      </c>
      <c r="F216" s="5">
        <f t="shared" si="3"/>
        <v>29.02</v>
      </c>
    </row>
    <row r="217" spans="1:6" x14ac:dyDescent="0.25">
      <c r="A217">
        <v>26</v>
      </c>
      <c r="B217" s="4" t="s">
        <v>431</v>
      </c>
      <c r="C217" s="4" t="s">
        <v>432</v>
      </c>
      <c r="D217" s="7">
        <v>14</v>
      </c>
      <c r="E217" s="4">
        <v>396.48</v>
      </c>
      <c r="F217" s="5">
        <f t="shared" si="3"/>
        <v>28.32</v>
      </c>
    </row>
    <row r="218" spans="1:6" x14ac:dyDescent="0.25">
      <c r="B218" s="4" t="s">
        <v>433</v>
      </c>
      <c r="C218" s="4" t="s">
        <v>434</v>
      </c>
      <c r="D218" s="4">
        <v>22</v>
      </c>
      <c r="E218" s="7">
        <v>617.76</v>
      </c>
      <c r="F218" s="5">
        <f t="shared" si="3"/>
        <v>28.08</v>
      </c>
    </row>
    <row r="219" spans="1:6" x14ac:dyDescent="0.25">
      <c r="A219">
        <v>507</v>
      </c>
      <c r="B219" s="4" t="s">
        <v>435</v>
      </c>
      <c r="C219" s="4" t="s">
        <v>436</v>
      </c>
      <c r="D219" s="4">
        <v>5</v>
      </c>
      <c r="E219" s="7">
        <v>139.32</v>
      </c>
      <c r="F219" s="5">
        <f t="shared" si="3"/>
        <v>27.863999999999997</v>
      </c>
    </row>
    <row r="220" spans="1:6" x14ac:dyDescent="0.25">
      <c r="B220" s="4" t="s">
        <v>437</v>
      </c>
      <c r="C220" s="4" t="s">
        <v>438</v>
      </c>
      <c r="D220" s="4">
        <v>6</v>
      </c>
      <c r="E220" s="7">
        <v>166.62</v>
      </c>
      <c r="F220" s="5">
        <f t="shared" si="3"/>
        <v>27.77</v>
      </c>
    </row>
    <row r="221" spans="1:6" x14ac:dyDescent="0.25">
      <c r="B221" s="4" t="s">
        <v>439</v>
      </c>
      <c r="C221" s="4" t="s">
        <v>440</v>
      </c>
      <c r="D221" s="4">
        <v>19</v>
      </c>
      <c r="E221" s="4">
        <v>516.34</v>
      </c>
      <c r="F221" s="5">
        <f t="shared" si="3"/>
        <v>27.175789473684212</v>
      </c>
    </row>
    <row r="222" spans="1:6" x14ac:dyDescent="0.25">
      <c r="A222">
        <v>385</v>
      </c>
      <c r="B222" s="4" t="s">
        <v>441</v>
      </c>
      <c r="C222" s="4" t="s">
        <v>442</v>
      </c>
      <c r="D222" s="4">
        <v>29</v>
      </c>
      <c r="E222" s="4">
        <v>785.61</v>
      </c>
      <c r="F222" s="5">
        <f t="shared" si="3"/>
        <v>27.09</v>
      </c>
    </row>
    <row r="223" spans="1:6" x14ac:dyDescent="0.25">
      <c r="A223">
        <v>441</v>
      </c>
      <c r="B223" s="4" t="s">
        <v>443</v>
      </c>
      <c r="C223" s="4" t="s">
        <v>444</v>
      </c>
      <c r="D223" s="4">
        <v>372</v>
      </c>
      <c r="E223" s="4">
        <v>9909.7900000000009</v>
      </c>
      <c r="F223" s="5">
        <f t="shared" si="3"/>
        <v>26.639220430107528</v>
      </c>
    </row>
    <row r="224" spans="1:6" x14ac:dyDescent="0.25">
      <c r="B224" s="4" t="s">
        <v>445</v>
      </c>
      <c r="C224" s="4" t="s">
        <v>446</v>
      </c>
      <c r="D224" s="4">
        <v>176</v>
      </c>
      <c r="E224" s="4">
        <v>4663.59</v>
      </c>
      <c r="F224" s="5">
        <f t="shared" si="3"/>
        <v>26.497670454545457</v>
      </c>
    </row>
    <row r="225" spans="1:7" x14ac:dyDescent="0.25">
      <c r="B225" s="4" t="s">
        <v>447</v>
      </c>
      <c r="C225" s="4" t="s">
        <v>448</v>
      </c>
      <c r="D225" s="7">
        <v>33</v>
      </c>
      <c r="E225" s="4">
        <v>869.72</v>
      </c>
      <c r="F225" s="5">
        <f t="shared" si="3"/>
        <v>26.355151515151515</v>
      </c>
    </row>
    <row r="226" spans="1:7" x14ac:dyDescent="0.25">
      <c r="A226">
        <v>40</v>
      </c>
      <c r="B226" s="4" t="s">
        <v>449</v>
      </c>
      <c r="C226" s="4" t="s">
        <v>450</v>
      </c>
      <c r="D226" s="4">
        <v>25</v>
      </c>
      <c r="E226" s="7">
        <v>657</v>
      </c>
      <c r="F226" s="5">
        <f t="shared" si="3"/>
        <v>26.28</v>
      </c>
      <c r="G226" t="e">
        <f>+VLOOKUP(B226,'[1]Hoja 1'!$B:$H,7,0)</f>
        <v>#N/A</v>
      </c>
    </row>
    <row r="227" spans="1:7" x14ac:dyDescent="0.25">
      <c r="A227">
        <v>391</v>
      </c>
      <c r="B227" s="4" t="s">
        <v>451</v>
      </c>
      <c r="C227" s="4" t="s">
        <v>452</v>
      </c>
      <c r="D227" s="4">
        <v>18</v>
      </c>
      <c r="E227" s="4">
        <v>471.06</v>
      </c>
      <c r="F227" s="5">
        <f t="shared" si="3"/>
        <v>26.17</v>
      </c>
    </row>
    <row r="228" spans="1:7" x14ac:dyDescent="0.25">
      <c r="B228" s="4" t="s">
        <v>453</v>
      </c>
      <c r="C228" s="4" t="s">
        <v>454</v>
      </c>
      <c r="D228" s="4">
        <v>636</v>
      </c>
      <c r="E228" s="4">
        <v>16628.46</v>
      </c>
      <c r="F228" s="5">
        <f t="shared" si="3"/>
        <v>26.145377358490563</v>
      </c>
    </row>
    <row r="229" spans="1:7" x14ac:dyDescent="0.25">
      <c r="B229" s="4" t="s">
        <v>455</v>
      </c>
      <c r="C229" s="4" t="s">
        <v>456</v>
      </c>
      <c r="D229" s="7">
        <v>6</v>
      </c>
      <c r="E229" s="7">
        <v>155.4</v>
      </c>
      <c r="F229" s="5">
        <f t="shared" si="3"/>
        <v>25.900000000000002</v>
      </c>
    </row>
    <row r="230" spans="1:7" x14ac:dyDescent="0.25">
      <c r="A230">
        <v>325</v>
      </c>
      <c r="B230" s="4" t="s">
        <v>457</v>
      </c>
      <c r="C230" s="4" t="s">
        <v>458</v>
      </c>
      <c r="D230" s="4">
        <v>50</v>
      </c>
      <c r="E230" s="4">
        <v>1294.2</v>
      </c>
      <c r="F230" s="5">
        <f t="shared" si="3"/>
        <v>25.884</v>
      </c>
    </row>
    <row r="231" spans="1:7" x14ac:dyDescent="0.25">
      <c r="B231" s="4" t="s">
        <v>459</v>
      </c>
      <c r="C231" s="4" t="s">
        <v>460</v>
      </c>
      <c r="D231" s="7">
        <v>16</v>
      </c>
      <c r="E231" s="4">
        <v>413.31</v>
      </c>
      <c r="F231" s="5">
        <f t="shared" si="3"/>
        <v>25.831875</v>
      </c>
    </row>
    <row r="232" spans="1:7" x14ac:dyDescent="0.25">
      <c r="B232" s="4" t="s">
        <v>461</v>
      </c>
      <c r="C232" s="4" t="s">
        <v>462</v>
      </c>
      <c r="D232" s="4">
        <v>105</v>
      </c>
      <c r="E232" s="4">
        <v>2706.77</v>
      </c>
      <c r="F232" s="5">
        <f t="shared" si="3"/>
        <v>25.778761904761904</v>
      </c>
    </row>
    <row r="233" spans="1:7" x14ac:dyDescent="0.25">
      <c r="A233">
        <v>95</v>
      </c>
      <c r="B233" s="4" t="s">
        <v>463</v>
      </c>
      <c r="C233" s="4" t="s">
        <v>464</v>
      </c>
      <c r="D233" s="4">
        <v>256</v>
      </c>
      <c r="E233" s="4">
        <v>6592</v>
      </c>
      <c r="F233" s="5">
        <f t="shared" si="3"/>
        <v>25.75</v>
      </c>
    </row>
    <row r="234" spans="1:7" x14ac:dyDescent="0.25">
      <c r="A234">
        <v>137</v>
      </c>
      <c r="B234" s="4" t="s">
        <v>465</v>
      </c>
      <c r="C234" s="4" t="s">
        <v>466</v>
      </c>
      <c r="D234" s="4">
        <v>74</v>
      </c>
      <c r="E234" s="4">
        <v>1904.76</v>
      </c>
      <c r="F234" s="5">
        <f t="shared" si="3"/>
        <v>25.74</v>
      </c>
      <c r="G234" t="e">
        <f>+VLOOKUP(B234,'[1]Hoja 1'!$B:$H,7,0)</f>
        <v>#N/A</v>
      </c>
    </row>
    <row r="235" spans="1:7" x14ac:dyDescent="0.25">
      <c r="B235" s="4" t="s">
        <v>467</v>
      </c>
      <c r="C235" s="4" t="s">
        <v>468</v>
      </c>
      <c r="D235" s="4">
        <v>171</v>
      </c>
      <c r="E235" s="4">
        <v>4382.3900000000003</v>
      </c>
      <c r="F235" s="5">
        <f t="shared" si="3"/>
        <v>25.628011695906434</v>
      </c>
    </row>
    <row r="236" spans="1:7" x14ac:dyDescent="0.25">
      <c r="B236" s="4" t="s">
        <v>469</v>
      </c>
      <c r="C236" s="4" t="s">
        <v>470</v>
      </c>
      <c r="D236" s="4">
        <v>43</v>
      </c>
      <c r="E236" s="4">
        <v>1089.19</v>
      </c>
      <c r="F236" s="5">
        <f t="shared" si="3"/>
        <v>25.330000000000002</v>
      </c>
    </row>
    <row r="237" spans="1:7" x14ac:dyDescent="0.25">
      <c r="B237" s="4" t="s">
        <v>471</v>
      </c>
      <c r="C237" s="4" t="s">
        <v>472</v>
      </c>
      <c r="D237" s="4">
        <v>150</v>
      </c>
      <c r="E237" s="4">
        <v>3798.25</v>
      </c>
      <c r="F237" s="5">
        <f t="shared" si="3"/>
        <v>25.321666666666665</v>
      </c>
    </row>
    <row r="238" spans="1:7" x14ac:dyDescent="0.25">
      <c r="B238" s="4" t="s">
        <v>473</v>
      </c>
      <c r="C238" s="4" t="s">
        <v>474</v>
      </c>
      <c r="D238" s="4">
        <v>98</v>
      </c>
      <c r="E238" s="4">
        <v>2477.19</v>
      </c>
      <c r="F238" s="5">
        <f t="shared" si="3"/>
        <v>25.277448979591838</v>
      </c>
    </row>
    <row r="239" spans="1:7" x14ac:dyDescent="0.25">
      <c r="B239" s="4" t="s">
        <v>475</v>
      </c>
      <c r="C239" s="4" t="s">
        <v>476</v>
      </c>
      <c r="D239" s="4">
        <v>262</v>
      </c>
      <c r="E239" s="4">
        <v>6581.18</v>
      </c>
      <c r="F239" s="5">
        <f t="shared" si="3"/>
        <v>25.119007633587788</v>
      </c>
    </row>
    <row r="240" spans="1:7" x14ac:dyDescent="0.25">
      <c r="B240" s="4" t="s">
        <v>477</v>
      </c>
      <c r="C240" s="4" t="s">
        <v>478</v>
      </c>
      <c r="D240" s="4">
        <v>27</v>
      </c>
      <c r="E240" s="4">
        <v>670.95</v>
      </c>
      <c r="F240" s="5">
        <f t="shared" si="3"/>
        <v>24.85</v>
      </c>
    </row>
    <row r="241" spans="1:7" x14ac:dyDescent="0.25">
      <c r="B241" s="4" t="s">
        <v>479</v>
      </c>
      <c r="C241" s="4" t="s">
        <v>480</v>
      </c>
      <c r="D241" s="4">
        <v>10</v>
      </c>
      <c r="E241" s="4">
        <v>247.4</v>
      </c>
      <c r="F241" s="5">
        <f t="shared" si="3"/>
        <v>24.740000000000002</v>
      </c>
    </row>
    <row r="242" spans="1:7" x14ac:dyDescent="0.25">
      <c r="B242" s="4" t="s">
        <v>481</v>
      </c>
      <c r="C242" s="4" t="s">
        <v>482</v>
      </c>
      <c r="D242" s="4">
        <v>60</v>
      </c>
      <c r="E242" s="4">
        <v>1475.29</v>
      </c>
      <c r="F242" s="5">
        <f t="shared" si="3"/>
        <v>24.588166666666666</v>
      </c>
    </row>
    <row r="243" spans="1:7" x14ac:dyDescent="0.25">
      <c r="B243" s="4" t="s">
        <v>483</v>
      </c>
      <c r="C243" s="4" t="s">
        <v>484</v>
      </c>
      <c r="D243" s="4">
        <v>12</v>
      </c>
      <c r="E243" s="4">
        <v>294.27999999999997</v>
      </c>
      <c r="F243" s="5">
        <f t="shared" si="3"/>
        <v>24.52333333333333</v>
      </c>
      <c r="G243" t="e">
        <f>+VLOOKUP(B243,'[1]Hoja 1'!$B:$H,7,0)</f>
        <v>#N/A</v>
      </c>
    </row>
    <row r="244" spans="1:7" x14ac:dyDescent="0.25">
      <c r="B244" s="4" t="s">
        <v>485</v>
      </c>
      <c r="C244" s="4" t="s">
        <v>486</v>
      </c>
      <c r="D244" s="4">
        <v>91</v>
      </c>
      <c r="E244" s="4">
        <v>2226.5</v>
      </c>
      <c r="F244" s="5">
        <f t="shared" si="3"/>
        <v>24.467032967032967</v>
      </c>
    </row>
    <row r="245" spans="1:7" x14ac:dyDescent="0.25">
      <c r="B245" s="4" t="s">
        <v>487</v>
      </c>
      <c r="C245" s="4" t="s">
        <v>488</v>
      </c>
      <c r="D245" s="4">
        <v>56</v>
      </c>
      <c r="E245" s="7">
        <v>1369.42</v>
      </c>
      <c r="F245" s="5">
        <f t="shared" si="3"/>
        <v>24.453928571428573</v>
      </c>
    </row>
    <row r="246" spans="1:7" x14ac:dyDescent="0.25">
      <c r="A246">
        <v>345</v>
      </c>
      <c r="B246" s="4" t="s">
        <v>489</v>
      </c>
      <c r="C246" s="4" t="s">
        <v>490</v>
      </c>
      <c r="D246" s="4">
        <v>13</v>
      </c>
      <c r="E246" s="4">
        <v>315.2</v>
      </c>
      <c r="F246" s="5">
        <f t="shared" si="3"/>
        <v>24.246153846153845</v>
      </c>
      <c r="G246" t="s">
        <v>491</v>
      </c>
    </row>
    <row r="247" spans="1:7" x14ac:dyDescent="0.25">
      <c r="B247" s="4" t="s">
        <v>492</v>
      </c>
      <c r="C247" s="4" t="s">
        <v>493</v>
      </c>
      <c r="D247" s="4">
        <v>2</v>
      </c>
      <c r="E247" s="4">
        <v>48</v>
      </c>
      <c r="F247" s="5">
        <f t="shared" si="3"/>
        <v>24</v>
      </c>
    </row>
    <row r="248" spans="1:7" x14ac:dyDescent="0.25">
      <c r="A248">
        <v>270</v>
      </c>
      <c r="B248" s="4" t="s">
        <v>494</v>
      </c>
      <c r="C248" s="4" t="s">
        <v>495</v>
      </c>
      <c r="D248" s="4">
        <v>14</v>
      </c>
      <c r="E248" s="4">
        <v>334.18</v>
      </c>
      <c r="F248" s="5">
        <f t="shared" si="3"/>
        <v>23.87</v>
      </c>
    </row>
    <row r="249" spans="1:7" x14ac:dyDescent="0.25">
      <c r="B249" s="4" t="s">
        <v>496</v>
      </c>
      <c r="C249" s="4" t="s">
        <v>497</v>
      </c>
      <c r="D249" s="4">
        <v>53</v>
      </c>
      <c r="E249" s="4">
        <v>1260.18</v>
      </c>
      <c r="F249" s="5">
        <f t="shared" si="3"/>
        <v>23.776981132075473</v>
      </c>
    </row>
    <row r="250" spans="1:7" x14ac:dyDescent="0.25">
      <c r="B250" s="4" t="s">
        <v>498</v>
      </c>
      <c r="C250" s="4" t="s">
        <v>499</v>
      </c>
      <c r="D250" s="4">
        <v>391</v>
      </c>
      <c r="E250" s="4">
        <v>9247.15</v>
      </c>
      <c r="F250" s="5">
        <f t="shared" si="3"/>
        <v>23.65</v>
      </c>
    </row>
    <row r="251" spans="1:7" x14ac:dyDescent="0.25">
      <c r="B251" s="4" t="s">
        <v>500</v>
      </c>
      <c r="C251" s="4" t="s">
        <v>501</v>
      </c>
      <c r="D251" s="4">
        <v>97</v>
      </c>
      <c r="E251" s="4">
        <v>2286.59</v>
      </c>
      <c r="F251" s="5">
        <f t="shared" si="3"/>
        <v>23.573092783505157</v>
      </c>
    </row>
    <row r="252" spans="1:7" x14ac:dyDescent="0.25">
      <c r="A252">
        <v>209</v>
      </c>
      <c r="B252" s="4" t="s">
        <v>502</v>
      </c>
      <c r="C252" s="4" t="s">
        <v>503</v>
      </c>
      <c r="D252" s="4">
        <v>73</v>
      </c>
      <c r="E252" s="4">
        <v>1720.34</v>
      </c>
      <c r="F252" s="5">
        <f t="shared" si="3"/>
        <v>23.566301369863012</v>
      </c>
    </row>
    <row r="253" spans="1:7" x14ac:dyDescent="0.25">
      <c r="B253" s="4" t="s">
        <v>504</v>
      </c>
      <c r="C253" s="4" t="s">
        <v>505</v>
      </c>
      <c r="D253" s="7">
        <v>255</v>
      </c>
      <c r="E253" s="4">
        <v>5993.86</v>
      </c>
      <c r="F253" s="5">
        <f t="shared" si="3"/>
        <v>23.505333333333333</v>
      </c>
    </row>
    <row r="254" spans="1:7" x14ac:dyDescent="0.25">
      <c r="B254" s="4" t="s">
        <v>506</v>
      </c>
      <c r="C254" s="4" t="s">
        <v>507</v>
      </c>
      <c r="D254" s="4">
        <v>85</v>
      </c>
      <c r="E254" s="4">
        <v>1995.8</v>
      </c>
      <c r="F254" s="5">
        <f t="shared" si="3"/>
        <v>23.48</v>
      </c>
    </row>
    <row r="255" spans="1:7" x14ac:dyDescent="0.25">
      <c r="B255" s="4" t="s">
        <v>508</v>
      </c>
      <c r="C255" s="4" t="s">
        <v>509</v>
      </c>
      <c r="D255" s="7">
        <v>37</v>
      </c>
      <c r="E255" s="4">
        <v>865.93</v>
      </c>
      <c r="F255" s="5">
        <f t="shared" si="3"/>
        <v>23.403513513513513</v>
      </c>
    </row>
    <row r="256" spans="1:7" x14ac:dyDescent="0.25">
      <c r="B256" s="4" t="s">
        <v>510</v>
      </c>
      <c r="C256" s="4" t="s">
        <v>511</v>
      </c>
      <c r="D256" s="4">
        <v>19</v>
      </c>
      <c r="E256" s="4">
        <v>444.45</v>
      </c>
      <c r="F256" s="5">
        <f t="shared" si="3"/>
        <v>23.392105263157895</v>
      </c>
    </row>
    <row r="257" spans="1:6" x14ac:dyDescent="0.25">
      <c r="A257">
        <v>286</v>
      </c>
      <c r="B257" s="4" t="s">
        <v>512</v>
      </c>
      <c r="C257" s="4" t="s">
        <v>513</v>
      </c>
      <c r="D257" s="4">
        <v>39</v>
      </c>
      <c r="E257" s="4">
        <v>903.63</v>
      </c>
      <c r="F257" s="5">
        <f t="shared" si="3"/>
        <v>23.169999999999998</v>
      </c>
    </row>
    <row r="258" spans="1:6" x14ac:dyDescent="0.25">
      <c r="A258">
        <v>264</v>
      </c>
      <c r="B258" s="4" t="s">
        <v>514</v>
      </c>
      <c r="C258" s="4" t="s">
        <v>515</v>
      </c>
      <c r="D258" s="4">
        <v>115</v>
      </c>
      <c r="E258" s="4">
        <v>2631.2</v>
      </c>
      <c r="F258" s="5">
        <f t="shared" ref="F258:F321" si="4">+IFERROR(E258/D258,0)</f>
        <v>22.88</v>
      </c>
    </row>
    <row r="259" spans="1:6" x14ac:dyDescent="0.25">
      <c r="B259" s="4" t="s">
        <v>516</v>
      </c>
      <c r="C259" s="4" t="s">
        <v>517</v>
      </c>
      <c r="D259" s="4">
        <v>6</v>
      </c>
      <c r="E259" s="4">
        <v>135.9</v>
      </c>
      <c r="F259" s="5">
        <f t="shared" si="4"/>
        <v>22.650000000000002</v>
      </c>
    </row>
    <row r="260" spans="1:6" x14ac:dyDescent="0.25">
      <c r="B260" s="4" t="s">
        <v>518</v>
      </c>
      <c r="C260" s="4" t="s">
        <v>519</v>
      </c>
      <c r="D260" s="4">
        <v>123</v>
      </c>
      <c r="E260" s="4">
        <v>2785.95</v>
      </c>
      <c r="F260" s="5">
        <f t="shared" si="4"/>
        <v>22.65</v>
      </c>
    </row>
    <row r="261" spans="1:6" x14ac:dyDescent="0.25">
      <c r="B261" s="4" t="s">
        <v>520</v>
      </c>
      <c r="C261" s="4" t="s">
        <v>521</v>
      </c>
      <c r="D261" s="7">
        <v>100</v>
      </c>
      <c r="E261" s="4">
        <v>2258</v>
      </c>
      <c r="F261" s="5">
        <f t="shared" si="4"/>
        <v>22.58</v>
      </c>
    </row>
    <row r="262" spans="1:6" x14ac:dyDescent="0.25">
      <c r="B262" s="4" t="s">
        <v>522</v>
      </c>
      <c r="C262" s="4" t="s">
        <v>523</v>
      </c>
      <c r="D262" s="4">
        <v>3</v>
      </c>
      <c r="E262" s="4">
        <v>67.180000000000007</v>
      </c>
      <c r="F262" s="5">
        <f t="shared" si="4"/>
        <v>22.393333333333334</v>
      </c>
    </row>
    <row r="263" spans="1:6" x14ac:dyDescent="0.25">
      <c r="B263" s="4" t="s">
        <v>524</v>
      </c>
      <c r="C263" s="4" t="s">
        <v>525</v>
      </c>
      <c r="D263" s="4">
        <v>1</v>
      </c>
      <c r="E263" s="4">
        <v>22.36</v>
      </c>
      <c r="F263" s="5">
        <f t="shared" si="4"/>
        <v>22.36</v>
      </c>
    </row>
    <row r="264" spans="1:6" x14ac:dyDescent="0.25">
      <c r="B264" s="4" t="s">
        <v>526</v>
      </c>
      <c r="C264" s="4" t="s">
        <v>527</v>
      </c>
      <c r="D264" s="7">
        <v>56</v>
      </c>
      <c r="E264" s="4">
        <v>1250.5999999999999</v>
      </c>
      <c r="F264" s="5">
        <f t="shared" si="4"/>
        <v>22.332142857142856</v>
      </c>
    </row>
    <row r="265" spans="1:6" x14ac:dyDescent="0.25">
      <c r="B265" s="4" t="s">
        <v>528</v>
      </c>
      <c r="C265" s="4" t="s">
        <v>529</v>
      </c>
      <c r="D265" s="4">
        <v>17</v>
      </c>
      <c r="E265" s="7">
        <v>379.61</v>
      </c>
      <c r="F265" s="5">
        <f t="shared" si="4"/>
        <v>22.330000000000002</v>
      </c>
    </row>
    <row r="266" spans="1:6" x14ac:dyDescent="0.25">
      <c r="B266" s="4" t="s">
        <v>530</v>
      </c>
      <c r="C266" s="4" t="s">
        <v>531</v>
      </c>
      <c r="D266" s="4">
        <v>294</v>
      </c>
      <c r="E266" s="4">
        <v>6496.76</v>
      </c>
      <c r="F266" s="5">
        <f t="shared" si="4"/>
        <v>22.097823129251701</v>
      </c>
    </row>
    <row r="267" spans="1:6" x14ac:dyDescent="0.25">
      <c r="B267" s="4" t="s">
        <v>532</v>
      </c>
      <c r="C267" s="4" t="s">
        <v>533</v>
      </c>
      <c r="D267" s="4">
        <v>9</v>
      </c>
      <c r="E267" s="4">
        <v>198</v>
      </c>
      <c r="F267" s="5">
        <f t="shared" si="4"/>
        <v>22</v>
      </c>
    </row>
    <row r="268" spans="1:6" x14ac:dyDescent="0.25">
      <c r="A268">
        <v>430</v>
      </c>
      <c r="B268" s="4" t="s">
        <v>534</v>
      </c>
      <c r="C268" s="4" t="s">
        <v>535</v>
      </c>
      <c r="D268" s="4">
        <v>5</v>
      </c>
      <c r="E268" s="4">
        <v>110</v>
      </c>
      <c r="F268" s="5">
        <f t="shared" si="4"/>
        <v>22</v>
      </c>
    </row>
    <row r="269" spans="1:6" x14ac:dyDescent="0.25">
      <c r="B269" s="4" t="s">
        <v>536</v>
      </c>
      <c r="C269" s="4" t="s">
        <v>537</v>
      </c>
      <c r="D269" s="4">
        <v>94</v>
      </c>
      <c r="E269" s="7">
        <v>2052.96</v>
      </c>
      <c r="F269" s="5">
        <f t="shared" si="4"/>
        <v>21.84</v>
      </c>
    </row>
    <row r="270" spans="1:6" x14ac:dyDescent="0.25">
      <c r="B270" s="4" t="s">
        <v>538</v>
      </c>
      <c r="C270" s="4" t="s">
        <v>539</v>
      </c>
      <c r="D270" s="4">
        <v>12</v>
      </c>
      <c r="E270" s="7">
        <v>261.14</v>
      </c>
      <c r="F270" s="5">
        <f t="shared" si="4"/>
        <v>21.761666666666667</v>
      </c>
    </row>
    <row r="271" spans="1:6" x14ac:dyDescent="0.25">
      <c r="A271">
        <v>469</v>
      </c>
      <c r="B271" s="4" t="s">
        <v>540</v>
      </c>
      <c r="C271" s="4" t="s">
        <v>541</v>
      </c>
      <c r="D271" s="4">
        <v>198</v>
      </c>
      <c r="E271" s="4">
        <v>4233.24</v>
      </c>
      <c r="F271" s="5">
        <f t="shared" si="4"/>
        <v>21.38</v>
      </c>
    </row>
    <row r="272" spans="1:6" x14ac:dyDescent="0.25">
      <c r="B272" s="4" t="s">
        <v>542</v>
      </c>
      <c r="C272" s="4" t="s">
        <v>543</v>
      </c>
      <c r="D272" s="4">
        <v>22</v>
      </c>
      <c r="E272" s="7">
        <v>470.05</v>
      </c>
      <c r="F272" s="5">
        <f t="shared" si="4"/>
        <v>21.365909090909092</v>
      </c>
    </row>
    <row r="273" spans="1:6" x14ac:dyDescent="0.25">
      <c r="B273" s="4" t="s">
        <v>544</v>
      </c>
      <c r="C273" s="4" t="s">
        <v>545</v>
      </c>
      <c r="D273" s="4">
        <v>56</v>
      </c>
      <c r="E273" s="7">
        <v>1186.6099999999999</v>
      </c>
      <c r="F273" s="5">
        <f t="shared" si="4"/>
        <v>21.189464285714283</v>
      </c>
    </row>
    <row r="274" spans="1:6" x14ac:dyDescent="0.25">
      <c r="B274" s="4" t="s">
        <v>546</v>
      </c>
      <c r="C274" s="4" t="s">
        <v>547</v>
      </c>
      <c r="D274" s="4">
        <v>24</v>
      </c>
      <c r="E274" s="4">
        <v>507.29</v>
      </c>
      <c r="F274" s="5">
        <f t="shared" si="4"/>
        <v>21.137083333333333</v>
      </c>
    </row>
    <row r="275" spans="1:6" x14ac:dyDescent="0.25">
      <c r="B275" s="4" t="s">
        <v>548</v>
      </c>
      <c r="C275" s="4" t="s">
        <v>549</v>
      </c>
      <c r="D275" s="4">
        <v>50</v>
      </c>
      <c r="E275" s="4">
        <v>1056.3</v>
      </c>
      <c r="F275" s="5">
        <f t="shared" si="4"/>
        <v>21.125999999999998</v>
      </c>
    </row>
    <row r="276" spans="1:6" x14ac:dyDescent="0.25">
      <c r="B276" s="4" t="s">
        <v>550</v>
      </c>
      <c r="C276" s="4" t="s">
        <v>551</v>
      </c>
      <c r="D276" s="4">
        <v>56</v>
      </c>
      <c r="E276" s="7">
        <v>1181.04</v>
      </c>
      <c r="F276" s="5">
        <f t="shared" si="4"/>
        <v>21.09</v>
      </c>
    </row>
    <row r="277" spans="1:6" x14ac:dyDescent="0.25">
      <c r="B277" s="4" t="s">
        <v>552</v>
      </c>
      <c r="C277" s="4" t="s">
        <v>553</v>
      </c>
      <c r="D277" s="4">
        <v>9</v>
      </c>
      <c r="E277" s="7">
        <v>185.98</v>
      </c>
      <c r="F277" s="5">
        <f t="shared" si="4"/>
        <v>20.664444444444442</v>
      </c>
    </row>
    <row r="278" spans="1:6" x14ac:dyDescent="0.25">
      <c r="B278" s="4" t="s">
        <v>554</v>
      </c>
      <c r="C278" s="4" t="s">
        <v>555</v>
      </c>
      <c r="D278" s="4">
        <v>27</v>
      </c>
      <c r="E278" s="7">
        <v>553.5</v>
      </c>
      <c r="F278" s="5">
        <f t="shared" si="4"/>
        <v>20.5</v>
      </c>
    </row>
    <row r="279" spans="1:6" x14ac:dyDescent="0.25">
      <c r="B279" s="4" t="s">
        <v>556</v>
      </c>
      <c r="C279" s="4" t="s">
        <v>557</v>
      </c>
      <c r="D279" s="4">
        <v>22</v>
      </c>
      <c r="E279" s="7">
        <v>450.56</v>
      </c>
      <c r="F279" s="5">
        <f t="shared" si="4"/>
        <v>20.48</v>
      </c>
    </row>
    <row r="280" spans="1:6" x14ac:dyDescent="0.25">
      <c r="A280">
        <v>381</v>
      </c>
      <c r="B280" s="4" t="s">
        <v>558</v>
      </c>
      <c r="C280" s="4" t="s">
        <v>559</v>
      </c>
      <c r="D280" s="4">
        <v>300</v>
      </c>
      <c r="E280" s="7">
        <v>6045</v>
      </c>
      <c r="F280" s="5">
        <f t="shared" si="4"/>
        <v>20.149999999999999</v>
      </c>
    </row>
    <row r="281" spans="1:6" x14ac:dyDescent="0.25">
      <c r="B281" s="4" t="s">
        <v>560</v>
      </c>
      <c r="C281" s="4" t="s">
        <v>561</v>
      </c>
      <c r="D281" s="4">
        <v>12</v>
      </c>
      <c r="E281" s="4">
        <v>241.49</v>
      </c>
      <c r="F281" s="5">
        <f t="shared" si="4"/>
        <v>20.124166666666667</v>
      </c>
    </row>
    <row r="282" spans="1:6" x14ac:dyDescent="0.25">
      <c r="B282" s="4" t="s">
        <v>562</v>
      </c>
      <c r="C282" s="4" t="s">
        <v>563</v>
      </c>
      <c r="D282" s="7">
        <v>52</v>
      </c>
      <c r="E282" s="4">
        <v>1040.52</v>
      </c>
      <c r="F282" s="5">
        <f t="shared" si="4"/>
        <v>20.009999999999998</v>
      </c>
    </row>
    <row r="283" spans="1:6" x14ac:dyDescent="0.25">
      <c r="B283" s="4" t="s">
        <v>564</v>
      </c>
      <c r="C283" s="4" t="s">
        <v>565</v>
      </c>
      <c r="D283" s="4">
        <v>8</v>
      </c>
      <c r="E283" s="7">
        <v>160</v>
      </c>
      <c r="F283" s="5">
        <f t="shared" si="4"/>
        <v>20</v>
      </c>
    </row>
    <row r="284" spans="1:6" x14ac:dyDescent="0.25">
      <c r="B284" s="4" t="s">
        <v>566</v>
      </c>
      <c r="C284" s="4" t="s">
        <v>567</v>
      </c>
      <c r="D284" s="4">
        <v>175</v>
      </c>
      <c r="E284" s="4">
        <v>3482.57</v>
      </c>
      <c r="F284" s="5">
        <f t="shared" si="4"/>
        <v>19.900400000000001</v>
      </c>
    </row>
    <row r="285" spans="1:6" x14ac:dyDescent="0.25">
      <c r="A285">
        <v>144</v>
      </c>
      <c r="B285" s="4" t="s">
        <v>568</v>
      </c>
      <c r="C285" s="4" t="s">
        <v>569</v>
      </c>
      <c r="D285" s="4">
        <v>96</v>
      </c>
      <c r="E285" s="4">
        <v>1877.62</v>
      </c>
      <c r="F285" s="5">
        <f t="shared" si="4"/>
        <v>19.558541666666667</v>
      </c>
    </row>
    <row r="286" spans="1:6" x14ac:dyDescent="0.25">
      <c r="B286" s="4" t="s">
        <v>570</v>
      </c>
      <c r="C286" s="4" t="s">
        <v>571</v>
      </c>
      <c r="D286" s="4">
        <v>45</v>
      </c>
      <c r="E286" s="4">
        <v>868.82</v>
      </c>
      <c r="F286" s="5">
        <f t="shared" si="4"/>
        <v>19.307111111111112</v>
      </c>
    </row>
    <row r="287" spans="1:6" x14ac:dyDescent="0.25">
      <c r="B287" s="4" t="s">
        <v>572</v>
      </c>
      <c r="C287" s="4" t="s">
        <v>573</v>
      </c>
      <c r="D287" s="4">
        <v>87</v>
      </c>
      <c r="E287" s="4">
        <v>1678.41</v>
      </c>
      <c r="F287" s="5">
        <f t="shared" si="4"/>
        <v>19.292068965517242</v>
      </c>
    </row>
    <row r="288" spans="1:6" x14ac:dyDescent="0.25">
      <c r="B288" s="4" t="s">
        <v>574</v>
      </c>
      <c r="C288" s="4" t="s">
        <v>575</v>
      </c>
      <c r="D288" s="4">
        <v>200</v>
      </c>
      <c r="E288" s="4">
        <v>3856</v>
      </c>
      <c r="F288" s="5">
        <f t="shared" si="4"/>
        <v>19.28</v>
      </c>
    </row>
    <row r="289" spans="1:7" x14ac:dyDescent="0.25">
      <c r="B289" s="4" t="s">
        <v>576</v>
      </c>
      <c r="C289" s="4" t="s">
        <v>577</v>
      </c>
      <c r="D289" s="4">
        <v>21</v>
      </c>
      <c r="E289" s="4">
        <v>402.57</v>
      </c>
      <c r="F289" s="5">
        <f t="shared" si="4"/>
        <v>19.169999999999998</v>
      </c>
    </row>
    <row r="290" spans="1:7" x14ac:dyDescent="0.25">
      <c r="B290" s="4" t="s">
        <v>578</v>
      </c>
      <c r="C290" s="4" t="s">
        <v>579</v>
      </c>
      <c r="D290" s="4">
        <v>70</v>
      </c>
      <c r="E290" s="4">
        <v>1318.29</v>
      </c>
      <c r="F290" s="5">
        <f t="shared" si="4"/>
        <v>18.832714285714285</v>
      </c>
    </row>
    <row r="291" spans="1:7" x14ac:dyDescent="0.25">
      <c r="B291" s="4" t="s">
        <v>580</v>
      </c>
      <c r="C291" s="4" t="s">
        <v>581</v>
      </c>
      <c r="D291" s="4">
        <v>2</v>
      </c>
      <c r="E291" s="4">
        <v>37.36</v>
      </c>
      <c r="F291" s="5">
        <f t="shared" si="4"/>
        <v>18.68</v>
      </c>
    </row>
    <row r="292" spans="1:7" x14ac:dyDescent="0.25">
      <c r="B292" s="4" t="s">
        <v>582</v>
      </c>
      <c r="C292" s="4" t="s">
        <v>583</v>
      </c>
      <c r="D292" s="4">
        <v>15</v>
      </c>
      <c r="E292" s="7">
        <v>279.23</v>
      </c>
      <c r="F292" s="5">
        <f t="shared" si="4"/>
        <v>18.615333333333336</v>
      </c>
    </row>
    <row r="293" spans="1:7" x14ac:dyDescent="0.25">
      <c r="B293" s="4" t="s">
        <v>584</v>
      </c>
      <c r="C293" s="4" t="s">
        <v>585</v>
      </c>
      <c r="D293" s="4">
        <v>91</v>
      </c>
      <c r="E293" s="4">
        <v>1686.23</v>
      </c>
      <c r="F293" s="5">
        <f t="shared" si="4"/>
        <v>18.53</v>
      </c>
    </row>
    <row r="294" spans="1:7" x14ac:dyDescent="0.25">
      <c r="A294">
        <v>533</v>
      </c>
      <c r="B294" s="4" t="s">
        <v>586</v>
      </c>
      <c r="C294" s="4" t="s">
        <v>587</v>
      </c>
      <c r="D294" s="4">
        <v>52</v>
      </c>
      <c r="E294" s="4">
        <v>963.56</v>
      </c>
      <c r="F294" s="5">
        <f t="shared" si="4"/>
        <v>18.529999999999998</v>
      </c>
    </row>
    <row r="295" spans="1:7" x14ac:dyDescent="0.25">
      <c r="B295" s="4" t="s">
        <v>588</v>
      </c>
      <c r="C295" s="4" t="s">
        <v>589</v>
      </c>
      <c r="D295" s="4">
        <v>16</v>
      </c>
      <c r="E295" s="4">
        <v>288</v>
      </c>
      <c r="F295" s="5">
        <f t="shared" si="4"/>
        <v>18</v>
      </c>
    </row>
    <row r="296" spans="1:7" x14ac:dyDescent="0.25">
      <c r="A296">
        <v>404</v>
      </c>
      <c r="B296" s="4" t="s">
        <v>590</v>
      </c>
      <c r="C296" s="4" t="s">
        <v>591</v>
      </c>
      <c r="D296" s="4">
        <v>8</v>
      </c>
      <c r="E296" s="4">
        <v>144</v>
      </c>
      <c r="F296" s="5">
        <f t="shared" si="4"/>
        <v>18</v>
      </c>
      <c r="G296" t="e">
        <f>+VLOOKUP(B296,'[1]Hoja 1'!$B:$H,7,0)</f>
        <v>#N/A</v>
      </c>
    </row>
    <row r="297" spans="1:7" x14ac:dyDescent="0.25">
      <c r="B297" s="4" t="s">
        <v>592</v>
      </c>
      <c r="C297" s="4" t="s">
        <v>593</v>
      </c>
      <c r="D297" s="4">
        <v>8</v>
      </c>
      <c r="E297" s="4">
        <v>144</v>
      </c>
      <c r="F297" s="5">
        <f t="shared" si="4"/>
        <v>18</v>
      </c>
    </row>
    <row r="298" spans="1:7" x14ac:dyDescent="0.25">
      <c r="A298">
        <v>450</v>
      </c>
      <c r="B298" s="4" t="s">
        <v>594</v>
      </c>
      <c r="C298" s="4" t="s">
        <v>595</v>
      </c>
      <c r="D298" s="4">
        <v>208</v>
      </c>
      <c r="E298" s="7">
        <v>3734.69</v>
      </c>
      <c r="F298" s="5">
        <f t="shared" si="4"/>
        <v>17.955240384615387</v>
      </c>
    </row>
    <row r="299" spans="1:7" x14ac:dyDescent="0.25">
      <c r="A299">
        <v>407</v>
      </c>
      <c r="B299" s="4" t="s">
        <v>596</v>
      </c>
      <c r="C299" s="4" t="s">
        <v>597</v>
      </c>
      <c r="D299" s="4">
        <v>9</v>
      </c>
      <c r="E299" s="7">
        <v>158.75</v>
      </c>
      <c r="F299" s="5">
        <f t="shared" si="4"/>
        <v>17.638888888888889</v>
      </c>
    </row>
    <row r="300" spans="1:7" x14ac:dyDescent="0.25">
      <c r="A300">
        <v>102</v>
      </c>
      <c r="B300" s="4" t="s">
        <v>598</v>
      </c>
      <c r="C300" s="4" t="s">
        <v>599</v>
      </c>
      <c r="D300" s="4">
        <v>18</v>
      </c>
      <c r="E300" s="4">
        <v>311.58</v>
      </c>
      <c r="F300" s="5">
        <f t="shared" si="4"/>
        <v>17.309999999999999</v>
      </c>
    </row>
    <row r="301" spans="1:7" x14ac:dyDescent="0.25">
      <c r="A301">
        <v>369</v>
      </c>
      <c r="B301" s="4" t="s">
        <v>600</v>
      </c>
      <c r="C301" s="4" t="s">
        <v>601</v>
      </c>
      <c r="D301" s="7">
        <v>117</v>
      </c>
      <c r="E301" s="7">
        <v>2021.76</v>
      </c>
      <c r="F301" s="5">
        <f t="shared" si="4"/>
        <v>17.28</v>
      </c>
    </row>
    <row r="302" spans="1:7" x14ac:dyDescent="0.25">
      <c r="B302" s="4" t="s">
        <v>602</v>
      </c>
      <c r="C302" s="4" t="s">
        <v>603</v>
      </c>
      <c r="D302" s="4">
        <v>28</v>
      </c>
      <c r="E302" s="7">
        <v>482.44</v>
      </c>
      <c r="F302" s="5">
        <f t="shared" si="4"/>
        <v>17.23</v>
      </c>
    </row>
    <row r="303" spans="1:7" x14ac:dyDescent="0.25">
      <c r="B303" s="4" t="s">
        <v>604</v>
      </c>
      <c r="C303" s="4" t="s">
        <v>605</v>
      </c>
      <c r="D303" s="4">
        <v>24</v>
      </c>
      <c r="E303" s="4">
        <v>410.46</v>
      </c>
      <c r="F303" s="5">
        <f t="shared" si="4"/>
        <v>17.102499999999999</v>
      </c>
    </row>
    <row r="304" spans="1:7" x14ac:dyDescent="0.25">
      <c r="B304" s="4" t="s">
        <v>606</v>
      </c>
      <c r="C304" s="4" t="s">
        <v>607</v>
      </c>
      <c r="D304" s="7">
        <v>119</v>
      </c>
      <c r="E304" s="7">
        <v>2025.38</v>
      </c>
      <c r="F304" s="5">
        <f t="shared" si="4"/>
        <v>17.02</v>
      </c>
    </row>
    <row r="305" spans="1:6" x14ac:dyDescent="0.25">
      <c r="A305">
        <v>411</v>
      </c>
      <c r="B305" s="4" t="s">
        <v>608</v>
      </c>
      <c r="C305" s="4" t="s">
        <v>609</v>
      </c>
      <c r="D305" s="4">
        <v>100</v>
      </c>
      <c r="E305" s="7">
        <v>1702</v>
      </c>
      <c r="F305" s="5">
        <f t="shared" si="4"/>
        <v>17.02</v>
      </c>
    </row>
    <row r="306" spans="1:6" x14ac:dyDescent="0.25">
      <c r="B306" s="4" t="s">
        <v>610</v>
      </c>
      <c r="C306" s="4" t="s">
        <v>611</v>
      </c>
      <c r="D306" s="4">
        <v>284</v>
      </c>
      <c r="E306" s="4">
        <v>4686</v>
      </c>
      <c r="F306" s="5">
        <f t="shared" si="4"/>
        <v>16.5</v>
      </c>
    </row>
    <row r="307" spans="1:6" x14ac:dyDescent="0.25">
      <c r="A307">
        <v>278</v>
      </c>
      <c r="B307" s="4" t="s">
        <v>612</v>
      </c>
      <c r="C307" s="4" t="s">
        <v>613</v>
      </c>
      <c r="D307" s="7">
        <v>25</v>
      </c>
      <c r="E307" s="7">
        <v>411</v>
      </c>
      <c r="F307" s="5">
        <f t="shared" si="4"/>
        <v>16.440000000000001</v>
      </c>
    </row>
    <row r="308" spans="1:6" x14ac:dyDescent="0.25">
      <c r="B308" s="4" t="s">
        <v>614</v>
      </c>
      <c r="C308" s="4" t="s">
        <v>615</v>
      </c>
      <c r="D308" s="4">
        <v>48</v>
      </c>
      <c r="E308" s="4">
        <v>780</v>
      </c>
      <c r="F308" s="5">
        <f t="shared" si="4"/>
        <v>16.25</v>
      </c>
    </row>
    <row r="309" spans="1:6" x14ac:dyDescent="0.25">
      <c r="B309" s="4" t="s">
        <v>616</v>
      </c>
      <c r="C309" s="4" t="s">
        <v>617</v>
      </c>
      <c r="D309" s="4">
        <v>13</v>
      </c>
      <c r="E309" s="4">
        <v>210.73</v>
      </c>
      <c r="F309" s="5">
        <f t="shared" si="4"/>
        <v>16.21</v>
      </c>
    </row>
    <row r="310" spans="1:6" x14ac:dyDescent="0.25">
      <c r="A310">
        <v>395</v>
      </c>
      <c r="B310" s="4" t="s">
        <v>618</v>
      </c>
      <c r="C310" s="4" t="s">
        <v>619</v>
      </c>
      <c r="D310" s="7">
        <v>33</v>
      </c>
      <c r="E310" s="7">
        <v>533.08000000000004</v>
      </c>
      <c r="F310" s="5">
        <f t="shared" si="4"/>
        <v>16.153939393939396</v>
      </c>
    </row>
    <row r="311" spans="1:6" x14ac:dyDescent="0.25">
      <c r="A311">
        <v>552</v>
      </c>
      <c r="B311" s="4" t="s">
        <v>620</v>
      </c>
      <c r="C311" s="4" t="s">
        <v>621</v>
      </c>
      <c r="D311" s="4">
        <v>4</v>
      </c>
      <c r="E311" s="7">
        <v>64</v>
      </c>
      <c r="F311" s="5">
        <f t="shared" si="4"/>
        <v>16</v>
      </c>
    </row>
    <row r="312" spans="1:6" x14ac:dyDescent="0.25">
      <c r="A312">
        <v>59</v>
      </c>
      <c r="B312" s="4" t="s">
        <v>622</v>
      </c>
      <c r="C312" s="4" t="s">
        <v>623</v>
      </c>
      <c r="D312" s="7">
        <v>25</v>
      </c>
      <c r="E312" s="4">
        <v>396.1</v>
      </c>
      <c r="F312" s="5">
        <f t="shared" si="4"/>
        <v>15.844000000000001</v>
      </c>
    </row>
    <row r="313" spans="1:6" x14ac:dyDescent="0.25">
      <c r="B313" s="4" t="s">
        <v>624</v>
      </c>
      <c r="C313" s="4" t="s">
        <v>625</v>
      </c>
      <c r="D313" s="4">
        <v>113</v>
      </c>
      <c r="E313" s="7">
        <v>1783.14</v>
      </c>
      <c r="F313" s="5">
        <f t="shared" si="4"/>
        <v>15.780000000000001</v>
      </c>
    </row>
    <row r="314" spans="1:6" x14ac:dyDescent="0.25">
      <c r="B314" s="4" t="s">
        <v>626</v>
      </c>
      <c r="C314" s="4" t="s">
        <v>627</v>
      </c>
      <c r="D314" s="4">
        <v>58</v>
      </c>
      <c r="E314" s="7">
        <v>915.24</v>
      </c>
      <c r="F314" s="5">
        <f t="shared" si="4"/>
        <v>15.78</v>
      </c>
    </row>
    <row r="315" spans="1:6" x14ac:dyDescent="0.25">
      <c r="B315" s="4" t="s">
        <v>628</v>
      </c>
      <c r="C315" s="4" t="s">
        <v>629</v>
      </c>
      <c r="D315" s="4">
        <v>50</v>
      </c>
      <c r="E315" s="7">
        <v>789</v>
      </c>
      <c r="F315" s="5">
        <f t="shared" si="4"/>
        <v>15.78</v>
      </c>
    </row>
    <row r="316" spans="1:6" x14ac:dyDescent="0.25">
      <c r="B316" s="4" t="s">
        <v>630</v>
      </c>
      <c r="C316" s="4" t="s">
        <v>631</v>
      </c>
      <c r="D316" s="4">
        <v>20</v>
      </c>
      <c r="E316" s="4">
        <v>315.18</v>
      </c>
      <c r="F316" s="5">
        <f t="shared" si="4"/>
        <v>15.759</v>
      </c>
    </row>
    <row r="317" spans="1:6" x14ac:dyDescent="0.25">
      <c r="B317" s="4" t="s">
        <v>632</v>
      </c>
      <c r="C317" s="4" t="s">
        <v>633</v>
      </c>
      <c r="D317" s="4">
        <v>100</v>
      </c>
      <c r="E317" s="7">
        <v>1553</v>
      </c>
      <c r="F317" s="5">
        <f t="shared" si="4"/>
        <v>15.53</v>
      </c>
    </row>
    <row r="318" spans="1:6" x14ac:dyDescent="0.25">
      <c r="A318">
        <v>257</v>
      </c>
      <c r="B318" s="4" t="s">
        <v>634</v>
      </c>
      <c r="C318" s="4" t="s">
        <v>635</v>
      </c>
      <c r="D318" s="4">
        <v>10</v>
      </c>
      <c r="E318" s="7">
        <v>152.57</v>
      </c>
      <c r="F318" s="5">
        <f t="shared" si="4"/>
        <v>15.257</v>
      </c>
    </row>
    <row r="319" spans="1:6" x14ac:dyDescent="0.25">
      <c r="B319" s="4" t="s">
        <v>636</v>
      </c>
      <c r="C319" s="4" t="s">
        <v>637</v>
      </c>
      <c r="D319" s="4">
        <v>15</v>
      </c>
      <c r="E319" s="7">
        <v>227.8</v>
      </c>
      <c r="F319" s="5">
        <f t="shared" si="4"/>
        <v>15.186666666666667</v>
      </c>
    </row>
    <row r="320" spans="1:6" x14ac:dyDescent="0.25">
      <c r="A320">
        <v>406</v>
      </c>
      <c r="B320" s="4" t="s">
        <v>638</v>
      </c>
      <c r="C320" s="4" t="s">
        <v>639</v>
      </c>
      <c r="D320" s="7">
        <v>90</v>
      </c>
      <c r="E320" s="4">
        <v>1356.3</v>
      </c>
      <c r="F320" s="5">
        <f t="shared" si="4"/>
        <v>15.07</v>
      </c>
    </row>
    <row r="321" spans="1:7" x14ac:dyDescent="0.25">
      <c r="B321" s="4" t="s">
        <v>640</v>
      </c>
      <c r="C321" s="4" t="s">
        <v>641</v>
      </c>
      <c r="D321" s="4">
        <v>148</v>
      </c>
      <c r="E321" s="7">
        <v>2228.34</v>
      </c>
      <c r="F321" s="5">
        <f t="shared" si="4"/>
        <v>15.056351351351353</v>
      </c>
    </row>
    <row r="322" spans="1:7" x14ac:dyDescent="0.25">
      <c r="A322">
        <v>229</v>
      </c>
      <c r="B322" s="4" t="s">
        <v>642</v>
      </c>
      <c r="C322" s="4" t="s">
        <v>643</v>
      </c>
      <c r="D322" s="4">
        <v>4</v>
      </c>
      <c r="E322" s="4">
        <v>60</v>
      </c>
      <c r="F322" s="5">
        <f t="shared" ref="F322:F385" si="5">+IFERROR(E322/D322,0)</f>
        <v>15</v>
      </c>
    </row>
    <row r="323" spans="1:7" x14ac:dyDescent="0.25">
      <c r="B323" s="4" t="s">
        <v>644</v>
      </c>
      <c r="C323" s="4" t="s">
        <v>645</v>
      </c>
      <c r="D323" s="4">
        <v>5</v>
      </c>
      <c r="E323" s="4">
        <v>73.599999999999994</v>
      </c>
      <c r="F323" s="5">
        <f t="shared" si="5"/>
        <v>14.719999999999999</v>
      </c>
    </row>
    <row r="324" spans="1:7" x14ac:dyDescent="0.25">
      <c r="B324" s="4" t="s">
        <v>646</v>
      </c>
      <c r="C324" s="4" t="s">
        <v>647</v>
      </c>
      <c r="D324" s="4">
        <v>32</v>
      </c>
      <c r="E324" s="7">
        <v>452.64</v>
      </c>
      <c r="F324" s="5">
        <f t="shared" si="5"/>
        <v>14.145</v>
      </c>
    </row>
    <row r="325" spans="1:7" x14ac:dyDescent="0.25">
      <c r="B325" s="4" t="s">
        <v>648</v>
      </c>
      <c r="C325" s="4" t="s">
        <v>649</v>
      </c>
      <c r="D325" s="4">
        <v>83</v>
      </c>
      <c r="E325" s="4">
        <v>1166.46</v>
      </c>
      <c r="F325" s="5">
        <f t="shared" si="5"/>
        <v>14.053734939759037</v>
      </c>
    </row>
    <row r="326" spans="1:7" x14ac:dyDescent="0.25">
      <c r="B326" s="4" t="s">
        <v>650</v>
      </c>
      <c r="C326" s="4" t="s">
        <v>651</v>
      </c>
      <c r="D326" s="4">
        <v>10</v>
      </c>
      <c r="E326" s="4">
        <v>140</v>
      </c>
      <c r="F326" s="5">
        <f t="shared" si="5"/>
        <v>14</v>
      </c>
    </row>
    <row r="327" spans="1:7" x14ac:dyDescent="0.25">
      <c r="B327" s="4" t="s">
        <v>652</v>
      </c>
      <c r="C327" s="4" t="s">
        <v>653</v>
      </c>
      <c r="D327" s="4">
        <v>5</v>
      </c>
      <c r="E327" s="7">
        <v>70</v>
      </c>
      <c r="F327" s="5">
        <f t="shared" si="5"/>
        <v>14</v>
      </c>
    </row>
    <row r="328" spans="1:7" x14ac:dyDescent="0.25">
      <c r="A328">
        <v>311</v>
      </c>
      <c r="B328" s="4" t="s">
        <v>654</v>
      </c>
      <c r="C328" s="4" t="s">
        <v>655</v>
      </c>
      <c r="D328" s="4">
        <v>5</v>
      </c>
      <c r="E328" s="4">
        <v>70</v>
      </c>
      <c r="F328" s="5">
        <f t="shared" si="5"/>
        <v>14</v>
      </c>
    </row>
    <row r="329" spans="1:7" x14ac:dyDescent="0.25">
      <c r="A329">
        <v>439</v>
      </c>
      <c r="B329" s="4" t="s">
        <v>656</v>
      </c>
      <c r="C329" s="4" t="s">
        <v>657</v>
      </c>
      <c r="D329" s="4">
        <v>4</v>
      </c>
      <c r="E329" s="4">
        <v>56</v>
      </c>
      <c r="F329" s="5">
        <f t="shared" si="5"/>
        <v>14</v>
      </c>
      <c r="G329" t="e">
        <f>+VLOOKUP(B329,'[1]Hoja 1'!$B:$H,7,0)</f>
        <v>#N/A</v>
      </c>
    </row>
    <row r="330" spans="1:7" x14ac:dyDescent="0.25">
      <c r="A330">
        <v>501</v>
      </c>
      <c r="B330" s="4" t="s">
        <v>658</v>
      </c>
      <c r="C330" s="4" t="s">
        <v>659</v>
      </c>
      <c r="D330" s="4">
        <v>11</v>
      </c>
      <c r="E330" s="4">
        <v>153.96</v>
      </c>
      <c r="F330" s="5">
        <f t="shared" si="5"/>
        <v>13.996363636363638</v>
      </c>
      <c r="G330" t="e">
        <f>+VLOOKUP(B330,'[1]Hoja 1'!$B:$H,7,0)</f>
        <v>#N/A</v>
      </c>
    </row>
    <row r="331" spans="1:7" x14ac:dyDescent="0.25">
      <c r="A331">
        <v>353</v>
      </c>
      <c r="B331" s="4" t="s">
        <v>660</v>
      </c>
      <c r="C331" s="4" t="s">
        <v>661</v>
      </c>
      <c r="D331" s="4">
        <v>5</v>
      </c>
      <c r="E331" s="4">
        <v>68.900000000000006</v>
      </c>
      <c r="F331" s="5">
        <f t="shared" si="5"/>
        <v>13.780000000000001</v>
      </c>
    </row>
    <row r="332" spans="1:7" x14ac:dyDescent="0.25">
      <c r="B332" s="4" t="s">
        <v>662</v>
      </c>
      <c r="C332" s="4" t="s">
        <v>663</v>
      </c>
      <c r="D332" s="4">
        <v>2</v>
      </c>
      <c r="E332" s="4">
        <v>27.1</v>
      </c>
      <c r="F332" s="5">
        <f t="shared" si="5"/>
        <v>13.55</v>
      </c>
    </row>
    <row r="333" spans="1:7" x14ac:dyDescent="0.25">
      <c r="B333" s="4" t="s">
        <v>664</v>
      </c>
      <c r="C333" s="4" t="s">
        <v>665</v>
      </c>
      <c r="D333" s="4">
        <v>40</v>
      </c>
      <c r="E333" s="4">
        <v>538</v>
      </c>
      <c r="F333" s="5">
        <f t="shared" si="5"/>
        <v>13.45</v>
      </c>
    </row>
    <row r="334" spans="1:7" x14ac:dyDescent="0.25">
      <c r="A334">
        <v>189</v>
      </c>
      <c r="B334" s="4" t="s">
        <v>666</v>
      </c>
      <c r="C334" s="4" t="s">
        <v>667</v>
      </c>
      <c r="D334" s="4">
        <v>2</v>
      </c>
      <c r="E334" s="4">
        <v>26.57</v>
      </c>
      <c r="F334" s="5">
        <f t="shared" si="5"/>
        <v>13.285</v>
      </c>
    </row>
    <row r="335" spans="1:7" x14ac:dyDescent="0.25">
      <c r="B335" s="4" t="s">
        <v>668</v>
      </c>
      <c r="C335" s="4" t="s">
        <v>669</v>
      </c>
      <c r="D335" s="4">
        <v>22</v>
      </c>
      <c r="E335" s="7">
        <v>290.18</v>
      </c>
      <c r="F335" s="5">
        <f t="shared" si="5"/>
        <v>13.19</v>
      </c>
    </row>
    <row r="336" spans="1:7" x14ac:dyDescent="0.25">
      <c r="B336" s="4" t="s">
        <v>670</v>
      </c>
      <c r="C336" s="4" t="s">
        <v>671</v>
      </c>
      <c r="D336" s="4">
        <v>6</v>
      </c>
      <c r="E336" s="7">
        <v>78.25</v>
      </c>
      <c r="F336" s="5">
        <f t="shared" si="5"/>
        <v>13.041666666666666</v>
      </c>
    </row>
    <row r="337" spans="1:6" x14ac:dyDescent="0.25">
      <c r="B337" s="4" t="s">
        <v>672</v>
      </c>
      <c r="C337" s="4" t="s">
        <v>673</v>
      </c>
      <c r="D337" s="4">
        <v>97</v>
      </c>
      <c r="E337" s="4">
        <v>1260.48</v>
      </c>
      <c r="F337" s="5">
        <f t="shared" si="5"/>
        <v>12.994639175257731</v>
      </c>
    </row>
    <row r="338" spans="1:6" x14ac:dyDescent="0.25">
      <c r="A338">
        <v>225</v>
      </c>
      <c r="B338" s="4" t="s">
        <v>674</v>
      </c>
      <c r="C338" s="4" t="s">
        <v>675</v>
      </c>
      <c r="D338" s="4">
        <v>6</v>
      </c>
      <c r="E338" s="7">
        <v>76.17</v>
      </c>
      <c r="F338" s="5">
        <f t="shared" si="5"/>
        <v>12.695</v>
      </c>
    </row>
    <row r="339" spans="1:6" x14ac:dyDescent="0.25">
      <c r="B339" s="4" t="s">
        <v>676</v>
      </c>
      <c r="C339" s="4" t="s">
        <v>677</v>
      </c>
      <c r="D339" s="4">
        <v>11</v>
      </c>
      <c r="E339" s="4">
        <v>139.53</v>
      </c>
      <c r="F339" s="5">
        <f t="shared" si="5"/>
        <v>12.684545454545455</v>
      </c>
    </row>
    <row r="340" spans="1:6" x14ac:dyDescent="0.25">
      <c r="B340" s="4" t="s">
        <v>678</v>
      </c>
      <c r="C340" s="4" t="s">
        <v>679</v>
      </c>
      <c r="D340" s="4">
        <v>106</v>
      </c>
      <c r="E340" s="4">
        <v>1335.4</v>
      </c>
      <c r="F340" s="5">
        <f t="shared" si="5"/>
        <v>12.59811320754717</v>
      </c>
    </row>
    <row r="341" spans="1:6" x14ac:dyDescent="0.25">
      <c r="B341" s="4" t="s">
        <v>680</v>
      </c>
      <c r="C341" s="4" t="s">
        <v>681</v>
      </c>
      <c r="D341" s="4">
        <v>29</v>
      </c>
      <c r="E341" s="4">
        <v>362.5</v>
      </c>
      <c r="F341" s="5">
        <f t="shared" si="5"/>
        <v>12.5</v>
      </c>
    </row>
    <row r="342" spans="1:6" x14ac:dyDescent="0.25">
      <c r="B342" s="4" t="s">
        <v>682</v>
      </c>
      <c r="C342" s="4" t="s">
        <v>683</v>
      </c>
      <c r="D342" s="4">
        <v>519</v>
      </c>
      <c r="E342" s="4">
        <v>6482.89</v>
      </c>
      <c r="F342" s="5">
        <f t="shared" si="5"/>
        <v>12.49111753371869</v>
      </c>
    </row>
    <row r="343" spans="1:6" x14ac:dyDescent="0.25">
      <c r="B343" s="4" t="s">
        <v>684</v>
      </c>
      <c r="C343" s="4" t="s">
        <v>685</v>
      </c>
      <c r="D343" s="4">
        <v>49</v>
      </c>
      <c r="E343" s="4">
        <v>602.70000000000005</v>
      </c>
      <c r="F343" s="5">
        <f t="shared" si="5"/>
        <v>12.3</v>
      </c>
    </row>
    <row r="344" spans="1:6" x14ac:dyDescent="0.25">
      <c r="B344" s="4" t="s">
        <v>686</v>
      </c>
      <c r="C344" s="4" t="s">
        <v>687</v>
      </c>
      <c r="D344" s="4">
        <v>6</v>
      </c>
      <c r="E344" s="7">
        <v>73.44</v>
      </c>
      <c r="F344" s="5">
        <f t="shared" si="5"/>
        <v>12.24</v>
      </c>
    </row>
    <row r="345" spans="1:6" x14ac:dyDescent="0.25">
      <c r="B345" s="4" t="s">
        <v>688</v>
      </c>
      <c r="C345" s="4" t="s">
        <v>689</v>
      </c>
      <c r="D345" s="4">
        <v>78</v>
      </c>
      <c r="E345" s="4">
        <v>948.64</v>
      </c>
      <c r="F345" s="5">
        <f t="shared" si="5"/>
        <v>12.162051282051282</v>
      </c>
    </row>
    <row r="346" spans="1:6" x14ac:dyDescent="0.25">
      <c r="B346" s="4" t="s">
        <v>690</v>
      </c>
      <c r="C346" s="4" t="s">
        <v>691</v>
      </c>
      <c r="D346" s="4">
        <v>60</v>
      </c>
      <c r="E346" s="4">
        <v>728.86</v>
      </c>
      <c r="F346" s="5">
        <f t="shared" si="5"/>
        <v>12.147666666666668</v>
      </c>
    </row>
    <row r="347" spans="1:6" x14ac:dyDescent="0.25">
      <c r="B347" s="4" t="s">
        <v>692</v>
      </c>
      <c r="C347" s="4" t="s">
        <v>693</v>
      </c>
      <c r="D347" s="4">
        <v>18</v>
      </c>
      <c r="E347" s="7">
        <v>217.36</v>
      </c>
      <c r="F347" s="5">
        <f t="shared" si="5"/>
        <v>12.075555555555557</v>
      </c>
    </row>
    <row r="348" spans="1:6" x14ac:dyDescent="0.25">
      <c r="B348" s="4" t="s">
        <v>694</v>
      </c>
      <c r="C348" s="4" t="s">
        <v>695</v>
      </c>
      <c r="D348" s="4">
        <v>40</v>
      </c>
      <c r="E348" s="4">
        <v>480</v>
      </c>
      <c r="F348" s="5">
        <f t="shared" si="5"/>
        <v>12</v>
      </c>
    </row>
    <row r="349" spans="1:6" x14ac:dyDescent="0.25">
      <c r="B349" s="4" t="s">
        <v>696</v>
      </c>
      <c r="C349" s="4" t="s">
        <v>697</v>
      </c>
      <c r="D349" s="4">
        <v>24</v>
      </c>
      <c r="E349" s="4">
        <v>287.42</v>
      </c>
      <c r="F349" s="5">
        <f t="shared" si="5"/>
        <v>11.975833333333334</v>
      </c>
    </row>
    <row r="350" spans="1:6" x14ac:dyDescent="0.25">
      <c r="B350" s="4" t="s">
        <v>698</v>
      </c>
      <c r="C350" s="4" t="s">
        <v>699</v>
      </c>
      <c r="D350" s="4">
        <v>33</v>
      </c>
      <c r="E350" s="4">
        <v>392.04</v>
      </c>
      <c r="F350" s="5">
        <f t="shared" si="5"/>
        <v>11.88</v>
      </c>
    </row>
    <row r="351" spans="1:6" x14ac:dyDescent="0.25">
      <c r="A351">
        <v>245</v>
      </c>
      <c r="B351" s="4" t="s">
        <v>700</v>
      </c>
      <c r="C351" s="4" t="s">
        <v>701</v>
      </c>
      <c r="D351" s="7">
        <v>302</v>
      </c>
      <c r="E351" s="4">
        <v>3561.46</v>
      </c>
      <c r="F351" s="5">
        <f t="shared" si="5"/>
        <v>11.792913907284769</v>
      </c>
    </row>
    <row r="352" spans="1:6" x14ac:dyDescent="0.25">
      <c r="A352">
        <v>448</v>
      </c>
      <c r="B352" s="4" t="s">
        <v>702</v>
      </c>
      <c r="C352" s="4" t="s">
        <v>703</v>
      </c>
      <c r="D352" s="4">
        <v>19</v>
      </c>
      <c r="E352" s="7">
        <v>219.64</v>
      </c>
      <c r="F352" s="5">
        <f t="shared" si="5"/>
        <v>11.559999999999999</v>
      </c>
    </row>
    <row r="353" spans="1:6" x14ac:dyDescent="0.25">
      <c r="B353" s="4" t="s">
        <v>704</v>
      </c>
      <c r="C353" s="4" t="s">
        <v>705</v>
      </c>
      <c r="D353" s="4">
        <v>207</v>
      </c>
      <c r="E353" s="4">
        <v>2380.9699999999998</v>
      </c>
      <c r="F353" s="5">
        <f t="shared" si="5"/>
        <v>11.502270531400965</v>
      </c>
    </row>
    <row r="354" spans="1:6" x14ac:dyDescent="0.25">
      <c r="B354" s="4" t="s">
        <v>706</v>
      </c>
      <c r="C354" s="4" t="s">
        <v>707</v>
      </c>
      <c r="D354" s="4">
        <v>20</v>
      </c>
      <c r="E354" s="4">
        <v>225.26</v>
      </c>
      <c r="F354" s="5">
        <f t="shared" si="5"/>
        <v>11.263</v>
      </c>
    </row>
    <row r="355" spans="1:6" x14ac:dyDescent="0.25">
      <c r="A355">
        <v>493</v>
      </c>
      <c r="B355" s="4" t="s">
        <v>708</v>
      </c>
      <c r="C355" s="4" t="s">
        <v>709</v>
      </c>
      <c r="D355" s="4">
        <v>17</v>
      </c>
      <c r="E355" s="7">
        <v>190.81</v>
      </c>
      <c r="F355" s="5">
        <f t="shared" si="5"/>
        <v>11.224117647058824</v>
      </c>
    </row>
    <row r="356" spans="1:6" x14ac:dyDescent="0.25">
      <c r="B356" s="4" t="s">
        <v>710</v>
      </c>
      <c r="C356" s="4" t="s">
        <v>711</v>
      </c>
      <c r="D356" s="4">
        <v>106</v>
      </c>
      <c r="E356" s="7">
        <v>1177.6600000000001</v>
      </c>
      <c r="F356" s="5">
        <f t="shared" si="5"/>
        <v>11.110000000000001</v>
      </c>
    </row>
    <row r="357" spans="1:6" x14ac:dyDescent="0.25">
      <c r="B357" s="4" t="s">
        <v>712</v>
      </c>
      <c r="C357" s="4" t="s">
        <v>713</v>
      </c>
      <c r="D357" s="4">
        <v>33</v>
      </c>
      <c r="E357" s="4">
        <v>359.08</v>
      </c>
      <c r="F357" s="5">
        <f t="shared" si="5"/>
        <v>10.881212121212121</v>
      </c>
    </row>
    <row r="358" spans="1:6" x14ac:dyDescent="0.25">
      <c r="B358" s="4" t="s">
        <v>714</v>
      </c>
      <c r="C358" s="4" t="s">
        <v>715</v>
      </c>
      <c r="D358" s="4">
        <v>168.65</v>
      </c>
      <c r="E358" s="4">
        <v>1818.97</v>
      </c>
      <c r="F358" s="5">
        <f t="shared" si="5"/>
        <v>10.78547287281352</v>
      </c>
    </row>
    <row r="359" spans="1:6" x14ac:dyDescent="0.25">
      <c r="B359" s="4" t="s">
        <v>716</v>
      </c>
      <c r="C359" s="4" t="s">
        <v>717</v>
      </c>
      <c r="D359" s="4">
        <v>160</v>
      </c>
      <c r="E359" s="4">
        <v>1717.8</v>
      </c>
      <c r="F359" s="5">
        <f t="shared" si="5"/>
        <v>10.73625</v>
      </c>
    </row>
    <row r="360" spans="1:6" x14ac:dyDescent="0.25">
      <c r="B360" s="4" t="s">
        <v>718</v>
      </c>
      <c r="C360" s="4" t="s">
        <v>719</v>
      </c>
      <c r="D360" s="4">
        <v>360</v>
      </c>
      <c r="E360" s="7">
        <v>3773.52</v>
      </c>
      <c r="F360" s="5">
        <f t="shared" si="5"/>
        <v>10.481999999999999</v>
      </c>
    </row>
    <row r="361" spans="1:6" x14ac:dyDescent="0.25">
      <c r="B361" s="4" t="s">
        <v>720</v>
      </c>
      <c r="C361" s="4" t="s">
        <v>721</v>
      </c>
      <c r="D361" s="4">
        <v>248</v>
      </c>
      <c r="E361" s="4">
        <v>2583.9299999999998</v>
      </c>
      <c r="F361" s="5">
        <f t="shared" si="5"/>
        <v>10.41907258064516</v>
      </c>
    </row>
    <row r="362" spans="1:6" x14ac:dyDescent="0.25">
      <c r="B362" s="4" t="s">
        <v>722</v>
      </c>
      <c r="C362" s="4" t="s">
        <v>723</v>
      </c>
      <c r="D362" s="4">
        <v>5</v>
      </c>
      <c r="E362" s="7">
        <v>52.09</v>
      </c>
      <c r="F362" s="5">
        <f t="shared" si="5"/>
        <v>10.418000000000001</v>
      </c>
    </row>
    <row r="363" spans="1:6" x14ac:dyDescent="0.25">
      <c r="B363" s="4" t="s">
        <v>724</v>
      </c>
      <c r="C363" s="4" t="s">
        <v>725</v>
      </c>
      <c r="D363" s="4">
        <v>5</v>
      </c>
      <c r="E363" s="7">
        <v>52.07</v>
      </c>
      <c r="F363" s="5">
        <f t="shared" si="5"/>
        <v>10.414</v>
      </c>
    </row>
    <row r="364" spans="1:6" x14ac:dyDescent="0.25">
      <c r="B364" s="4" t="s">
        <v>726</v>
      </c>
      <c r="C364" s="4" t="s">
        <v>727</v>
      </c>
      <c r="D364" s="4">
        <v>22</v>
      </c>
      <c r="E364" s="7">
        <v>228.94</v>
      </c>
      <c r="F364" s="5">
        <f t="shared" si="5"/>
        <v>10.406363636363636</v>
      </c>
    </row>
    <row r="365" spans="1:6" x14ac:dyDescent="0.25">
      <c r="B365" s="4" t="s">
        <v>728</v>
      </c>
      <c r="C365" s="4" t="s">
        <v>729</v>
      </c>
      <c r="D365" s="4">
        <v>27</v>
      </c>
      <c r="E365" s="4">
        <v>280.7</v>
      </c>
      <c r="F365" s="5">
        <f t="shared" si="5"/>
        <v>10.396296296296295</v>
      </c>
    </row>
    <row r="366" spans="1:6" x14ac:dyDescent="0.25">
      <c r="B366" s="4" t="s">
        <v>730</v>
      </c>
      <c r="C366" s="4" t="s">
        <v>731</v>
      </c>
      <c r="D366" s="4">
        <v>40</v>
      </c>
      <c r="E366" s="4">
        <v>415.12</v>
      </c>
      <c r="F366" s="5">
        <f t="shared" si="5"/>
        <v>10.378</v>
      </c>
    </row>
    <row r="367" spans="1:6" x14ac:dyDescent="0.25">
      <c r="A367">
        <v>121</v>
      </c>
      <c r="B367" s="4" t="s">
        <v>732</v>
      </c>
      <c r="C367" s="4" t="s">
        <v>733</v>
      </c>
      <c r="D367" s="4">
        <v>9</v>
      </c>
      <c r="E367" s="4">
        <v>93.06</v>
      </c>
      <c r="F367" s="5">
        <f t="shared" si="5"/>
        <v>10.34</v>
      </c>
    </row>
    <row r="368" spans="1:6" x14ac:dyDescent="0.25">
      <c r="A368">
        <v>58</v>
      </c>
      <c r="B368" s="4" t="s">
        <v>734</v>
      </c>
      <c r="C368" s="4" t="s">
        <v>735</v>
      </c>
      <c r="D368" s="4">
        <v>36</v>
      </c>
      <c r="E368" s="7">
        <v>371.08</v>
      </c>
      <c r="F368" s="5">
        <f t="shared" si="5"/>
        <v>10.307777777777778</v>
      </c>
    </row>
    <row r="369" spans="1:6" x14ac:dyDescent="0.25">
      <c r="B369" s="4" t="s">
        <v>736</v>
      </c>
      <c r="C369" s="4" t="s">
        <v>737</v>
      </c>
      <c r="D369" s="4">
        <v>23</v>
      </c>
      <c r="E369" s="4">
        <v>236.09</v>
      </c>
      <c r="F369" s="5">
        <f t="shared" si="5"/>
        <v>10.264782608695652</v>
      </c>
    </row>
    <row r="370" spans="1:6" x14ac:dyDescent="0.25">
      <c r="A370">
        <v>312</v>
      </c>
      <c r="B370" s="4" t="s">
        <v>738</v>
      </c>
      <c r="C370" s="4" t="s">
        <v>739</v>
      </c>
      <c r="D370" s="4">
        <v>122</v>
      </c>
      <c r="E370" s="7">
        <v>1241.96</v>
      </c>
      <c r="F370" s="5">
        <f t="shared" si="5"/>
        <v>10.18</v>
      </c>
    </row>
    <row r="371" spans="1:6" x14ac:dyDescent="0.25">
      <c r="A371">
        <v>563</v>
      </c>
      <c r="B371" s="4" t="s">
        <v>740</v>
      </c>
      <c r="C371" s="4" t="s">
        <v>741</v>
      </c>
      <c r="D371" s="4">
        <v>319</v>
      </c>
      <c r="E371" s="4">
        <v>3237.85</v>
      </c>
      <c r="F371" s="5">
        <f t="shared" si="5"/>
        <v>10.15</v>
      </c>
    </row>
    <row r="372" spans="1:6" x14ac:dyDescent="0.25">
      <c r="B372" s="4" t="s">
        <v>742</v>
      </c>
      <c r="C372" s="4" t="s">
        <v>743</v>
      </c>
      <c r="D372" s="4">
        <v>1</v>
      </c>
      <c r="E372" s="7">
        <v>10</v>
      </c>
      <c r="F372" s="5">
        <f t="shared" si="5"/>
        <v>10</v>
      </c>
    </row>
    <row r="373" spans="1:6" x14ac:dyDescent="0.25">
      <c r="B373" s="4" t="s">
        <v>744</v>
      </c>
      <c r="C373" s="4" t="s">
        <v>745</v>
      </c>
      <c r="D373" s="4">
        <v>35</v>
      </c>
      <c r="E373" s="7">
        <v>349.56</v>
      </c>
      <c r="F373" s="5">
        <f t="shared" si="5"/>
        <v>9.9874285714285715</v>
      </c>
    </row>
    <row r="374" spans="1:6" x14ac:dyDescent="0.25">
      <c r="B374" s="4" t="s">
        <v>746</v>
      </c>
      <c r="C374" s="4" t="s">
        <v>747</v>
      </c>
      <c r="D374" s="4">
        <v>120</v>
      </c>
      <c r="E374" s="4">
        <v>1196.4000000000001</v>
      </c>
      <c r="F374" s="5">
        <f t="shared" si="5"/>
        <v>9.9700000000000006</v>
      </c>
    </row>
    <row r="375" spans="1:6" x14ac:dyDescent="0.25">
      <c r="B375" s="4" t="s">
        <v>748</v>
      </c>
      <c r="C375" s="4" t="s">
        <v>749</v>
      </c>
      <c r="D375" s="4">
        <v>11</v>
      </c>
      <c r="E375" s="4">
        <v>108.14</v>
      </c>
      <c r="F375" s="5">
        <f t="shared" si="5"/>
        <v>9.8309090909090902</v>
      </c>
    </row>
    <row r="376" spans="1:6" x14ac:dyDescent="0.25">
      <c r="A376">
        <v>549</v>
      </c>
      <c r="B376" s="4" t="s">
        <v>750</v>
      </c>
      <c r="C376" s="4" t="s">
        <v>751</v>
      </c>
      <c r="D376" s="4">
        <v>24</v>
      </c>
      <c r="E376" s="4">
        <v>234.36</v>
      </c>
      <c r="F376" s="5">
        <f t="shared" si="5"/>
        <v>9.7650000000000006</v>
      </c>
    </row>
    <row r="377" spans="1:6" x14ac:dyDescent="0.25">
      <c r="A377">
        <v>177</v>
      </c>
      <c r="B377" s="4" t="s">
        <v>752</v>
      </c>
      <c r="C377" s="4" t="s">
        <v>753</v>
      </c>
      <c r="D377" s="4">
        <v>57</v>
      </c>
      <c r="E377" s="4">
        <v>549.02</v>
      </c>
      <c r="F377" s="5">
        <f t="shared" si="5"/>
        <v>9.6319298245614036</v>
      </c>
    </row>
    <row r="378" spans="1:6" x14ac:dyDescent="0.25">
      <c r="B378" s="4" t="s">
        <v>754</v>
      </c>
      <c r="C378" s="4" t="s">
        <v>755</v>
      </c>
      <c r="D378" s="4">
        <v>1</v>
      </c>
      <c r="E378" s="7">
        <v>9.56</v>
      </c>
      <c r="F378" s="5">
        <f t="shared" si="5"/>
        <v>9.56</v>
      </c>
    </row>
    <row r="379" spans="1:6" x14ac:dyDescent="0.25">
      <c r="A379">
        <v>338</v>
      </c>
      <c r="B379" s="4" t="s">
        <v>756</v>
      </c>
      <c r="C379" s="4" t="s">
        <v>757</v>
      </c>
      <c r="D379" s="4">
        <v>116</v>
      </c>
      <c r="E379" s="4">
        <v>1104.97</v>
      </c>
      <c r="F379" s="5">
        <f t="shared" si="5"/>
        <v>9.5256034482758629</v>
      </c>
    </row>
    <row r="380" spans="1:6" x14ac:dyDescent="0.25">
      <c r="B380" s="4" t="s">
        <v>758</v>
      </c>
      <c r="C380" s="4" t="s">
        <v>759</v>
      </c>
      <c r="D380" s="4">
        <v>129</v>
      </c>
      <c r="E380" s="4">
        <v>1223.69</v>
      </c>
      <c r="F380" s="5">
        <f t="shared" si="5"/>
        <v>9.485968992248063</v>
      </c>
    </row>
    <row r="381" spans="1:6" x14ac:dyDescent="0.25">
      <c r="B381" s="4" t="s">
        <v>760</v>
      </c>
      <c r="C381" s="4" t="s">
        <v>761</v>
      </c>
      <c r="D381" s="4">
        <v>145</v>
      </c>
      <c r="E381" s="4">
        <v>1373.15</v>
      </c>
      <c r="F381" s="5">
        <f t="shared" si="5"/>
        <v>9.4700000000000006</v>
      </c>
    </row>
    <row r="382" spans="1:6" x14ac:dyDescent="0.25">
      <c r="B382" s="4" t="s">
        <v>762</v>
      </c>
      <c r="C382" s="4" t="s">
        <v>763</v>
      </c>
      <c r="D382" s="4">
        <v>8</v>
      </c>
      <c r="E382" s="7">
        <v>75.2</v>
      </c>
      <c r="F382" s="5">
        <f t="shared" si="5"/>
        <v>9.4</v>
      </c>
    </row>
    <row r="383" spans="1:6" x14ac:dyDescent="0.25">
      <c r="A383">
        <v>62</v>
      </c>
      <c r="B383" s="4" t="s">
        <v>764</v>
      </c>
      <c r="C383" s="4" t="s">
        <v>765</v>
      </c>
      <c r="D383" s="4">
        <v>9</v>
      </c>
      <c r="E383" s="4">
        <v>84.6</v>
      </c>
      <c r="F383" s="5">
        <f t="shared" si="5"/>
        <v>9.3999999999999986</v>
      </c>
    </row>
    <row r="384" spans="1:6" x14ac:dyDescent="0.25">
      <c r="B384" s="4" t="s">
        <v>766</v>
      </c>
      <c r="C384" s="4" t="s">
        <v>767</v>
      </c>
      <c r="D384" s="4">
        <v>20</v>
      </c>
      <c r="E384" s="7">
        <v>186.3</v>
      </c>
      <c r="F384" s="5">
        <f t="shared" si="5"/>
        <v>9.3150000000000013</v>
      </c>
    </row>
    <row r="385" spans="1:7" x14ac:dyDescent="0.25">
      <c r="B385" s="4" t="s">
        <v>768</v>
      </c>
      <c r="C385" s="4" t="s">
        <v>769</v>
      </c>
      <c r="D385" s="7">
        <v>227</v>
      </c>
      <c r="E385" s="7">
        <v>2096.34</v>
      </c>
      <c r="F385" s="5">
        <f t="shared" si="5"/>
        <v>9.2349779735682826</v>
      </c>
    </row>
    <row r="386" spans="1:7" x14ac:dyDescent="0.25">
      <c r="B386" s="4" t="s">
        <v>770</v>
      </c>
      <c r="C386" s="4" t="s">
        <v>771</v>
      </c>
      <c r="D386" s="4">
        <v>116</v>
      </c>
      <c r="E386" s="4">
        <v>1069.28</v>
      </c>
      <c r="F386" s="5">
        <f t="shared" ref="F386:F449" si="6">+IFERROR(E386/D386,0)</f>
        <v>9.2179310344827581</v>
      </c>
    </row>
    <row r="387" spans="1:7" x14ac:dyDescent="0.25">
      <c r="B387" s="4" t="s">
        <v>772</v>
      </c>
      <c r="C387" s="4" t="s">
        <v>773</v>
      </c>
      <c r="D387" s="4">
        <v>108</v>
      </c>
      <c r="E387" s="7">
        <v>983.88</v>
      </c>
      <c r="F387" s="5">
        <f t="shared" si="6"/>
        <v>9.11</v>
      </c>
    </row>
    <row r="388" spans="1:7" x14ac:dyDescent="0.25">
      <c r="B388" s="4" t="s">
        <v>774</v>
      </c>
      <c r="C388" s="4" t="s">
        <v>775</v>
      </c>
      <c r="D388" s="4">
        <v>2</v>
      </c>
      <c r="E388" s="7">
        <v>18.170000000000002</v>
      </c>
      <c r="F388" s="5">
        <f t="shared" si="6"/>
        <v>9.0850000000000009</v>
      </c>
    </row>
    <row r="389" spans="1:7" x14ac:dyDescent="0.25">
      <c r="A389">
        <v>424</v>
      </c>
      <c r="B389" s="4" t="s">
        <v>776</v>
      </c>
      <c r="C389" s="4" t="s">
        <v>777</v>
      </c>
      <c r="D389" s="4">
        <v>189</v>
      </c>
      <c r="E389" s="4">
        <v>1715.34</v>
      </c>
      <c r="F389" s="5">
        <f t="shared" si="6"/>
        <v>9.0758730158730163</v>
      </c>
    </row>
    <row r="390" spans="1:7" x14ac:dyDescent="0.25">
      <c r="A390">
        <v>124</v>
      </c>
      <c r="B390" s="4" t="s">
        <v>778</v>
      </c>
      <c r="C390" s="4" t="s">
        <v>779</v>
      </c>
      <c r="D390" s="4">
        <v>7</v>
      </c>
      <c r="E390" s="4">
        <v>62.93</v>
      </c>
      <c r="F390" s="5">
        <f t="shared" si="6"/>
        <v>8.99</v>
      </c>
    </row>
    <row r="391" spans="1:7" x14ac:dyDescent="0.25">
      <c r="B391" s="4" t="s">
        <v>780</v>
      </c>
      <c r="C391" s="4" t="s">
        <v>781</v>
      </c>
      <c r="D391" s="4">
        <v>32</v>
      </c>
      <c r="E391" s="4">
        <v>287.23</v>
      </c>
      <c r="F391" s="5">
        <f t="shared" si="6"/>
        <v>8.9759375000000006</v>
      </c>
    </row>
    <row r="392" spans="1:7" x14ac:dyDescent="0.25">
      <c r="B392" s="4" t="s">
        <v>782</v>
      </c>
      <c r="C392" s="4" t="s">
        <v>783</v>
      </c>
      <c r="D392" s="4">
        <v>49</v>
      </c>
      <c r="E392" s="4">
        <v>436.59</v>
      </c>
      <c r="F392" s="5">
        <f t="shared" si="6"/>
        <v>8.91</v>
      </c>
    </row>
    <row r="393" spans="1:7" x14ac:dyDescent="0.25">
      <c r="A393">
        <v>228</v>
      </c>
      <c r="B393" s="4" t="s">
        <v>784</v>
      </c>
      <c r="C393" s="4" t="s">
        <v>785</v>
      </c>
      <c r="D393" s="4">
        <v>6</v>
      </c>
      <c r="E393" s="4">
        <v>52.99</v>
      </c>
      <c r="F393" s="5">
        <f t="shared" si="6"/>
        <v>8.831666666666667</v>
      </c>
    </row>
    <row r="394" spans="1:7" x14ac:dyDescent="0.25">
      <c r="B394" s="4" t="s">
        <v>786</v>
      </c>
      <c r="C394" s="4" t="s">
        <v>787</v>
      </c>
      <c r="D394" s="4">
        <v>8</v>
      </c>
      <c r="E394" s="7">
        <v>70.64</v>
      </c>
      <c r="F394" s="5">
        <f t="shared" si="6"/>
        <v>8.83</v>
      </c>
    </row>
    <row r="395" spans="1:7" x14ac:dyDescent="0.25">
      <c r="A395">
        <v>170</v>
      </c>
      <c r="B395" s="4" t="s">
        <v>788</v>
      </c>
      <c r="C395" s="4" t="s">
        <v>789</v>
      </c>
      <c r="D395" s="4">
        <v>20</v>
      </c>
      <c r="E395" s="4">
        <v>175.44</v>
      </c>
      <c r="F395" s="5">
        <f t="shared" si="6"/>
        <v>8.7720000000000002</v>
      </c>
      <c r="G395" t="e">
        <f>+VLOOKUP(B395,'[1]Hoja 1'!$B:$H,7,0)</f>
        <v>#N/A</v>
      </c>
    </row>
    <row r="396" spans="1:7" x14ac:dyDescent="0.25">
      <c r="A396">
        <v>436</v>
      </c>
      <c r="B396" s="4" t="s">
        <v>790</v>
      </c>
      <c r="C396" s="4" t="s">
        <v>791</v>
      </c>
      <c r="D396" s="4">
        <v>10</v>
      </c>
      <c r="E396" s="4">
        <v>87.29</v>
      </c>
      <c r="F396" s="5">
        <f t="shared" si="6"/>
        <v>8.729000000000001</v>
      </c>
    </row>
    <row r="397" spans="1:7" x14ac:dyDescent="0.25">
      <c r="B397" s="4" t="s">
        <v>792</v>
      </c>
      <c r="C397" s="4" t="s">
        <v>793</v>
      </c>
      <c r="D397" s="4">
        <v>10</v>
      </c>
      <c r="E397" s="4">
        <v>87.29</v>
      </c>
      <c r="F397" s="5">
        <f t="shared" si="6"/>
        <v>8.729000000000001</v>
      </c>
    </row>
    <row r="398" spans="1:7" x14ac:dyDescent="0.25">
      <c r="A398">
        <v>463</v>
      </c>
      <c r="B398" s="4" t="s">
        <v>794</v>
      </c>
      <c r="C398" s="4" t="s">
        <v>795</v>
      </c>
      <c r="D398" s="4">
        <v>92</v>
      </c>
      <c r="E398" s="4">
        <v>799.76</v>
      </c>
      <c r="F398" s="5">
        <f t="shared" si="6"/>
        <v>8.6930434782608703</v>
      </c>
    </row>
    <row r="399" spans="1:7" x14ac:dyDescent="0.25">
      <c r="B399" s="4" t="s">
        <v>796</v>
      </c>
      <c r="C399" s="4" t="s">
        <v>797</v>
      </c>
      <c r="D399" s="4">
        <v>6</v>
      </c>
      <c r="E399" s="4">
        <v>51.9</v>
      </c>
      <c r="F399" s="5">
        <f t="shared" si="6"/>
        <v>8.65</v>
      </c>
    </row>
    <row r="400" spans="1:7" x14ac:dyDescent="0.25">
      <c r="B400" s="4" t="s">
        <v>798</v>
      </c>
      <c r="C400" s="4" t="s">
        <v>799</v>
      </c>
      <c r="D400" s="4">
        <v>202</v>
      </c>
      <c r="E400" s="4">
        <v>1743.45</v>
      </c>
      <c r="F400" s="5">
        <f t="shared" si="6"/>
        <v>8.6309405940594068</v>
      </c>
    </row>
    <row r="401" spans="1:7" x14ac:dyDescent="0.25">
      <c r="A401">
        <v>27</v>
      </c>
      <c r="B401" s="4" t="s">
        <v>800</v>
      </c>
      <c r="C401" s="4" t="s">
        <v>717</v>
      </c>
      <c r="D401" s="4">
        <v>127</v>
      </c>
      <c r="E401" s="4">
        <v>1092.2</v>
      </c>
      <c r="F401" s="5">
        <f t="shared" si="6"/>
        <v>8.6</v>
      </c>
      <c r="G401" t="e">
        <f>+VLOOKUP(B401,'[1]Hoja 1'!$B:$H,7,0)</f>
        <v>#N/A</v>
      </c>
    </row>
    <row r="402" spans="1:7" x14ac:dyDescent="0.25">
      <c r="B402" s="4" t="s">
        <v>801</v>
      </c>
      <c r="C402" s="4" t="s">
        <v>802</v>
      </c>
      <c r="D402" s="4">
        <v>21</v>
      </c>
      <c r="E402" s="7">
        <v>179.76</v>
      </c>
      <c r="F402" s="5">
        <f t="shared" si="6"/>
        <v>8.5599999999999987</v>
      </c>
    </row>
    <row r="403" spans="1:7" x14ac:dyDescent="0.25">
      <c r="B403" s="4" t="s">
        <v>803</v>
      </c>
      <c r="C403" s="4" t="s">
        <v>804</v>
      </c>
      <c r="D403" s="4">
        <v>119</v>
      </c>
      <c r="E403" s="4">
        <v>1011.5</v>
      </c>
      <c r="F403" s="5">
        <f t="shared" si="6"/>
        <v>8.5</v>
      </c>
    </row>
    <row r="404" spans="1:7" x14ac:dyDescent="0.25">
      <c r="B404" s="4" t="s">
        <v>805</v>
      </c>
      <c r="C404" s="4" t="s">
        <v>806</v>
      </c>
      <c r="D404" s="4">
        <v>8</v>
      </c>
      <c r="E404" s="4">
        <v>68</v>
      </c>
      <c r="F404" s="5">
        <f t="shared" si="6"/>
        <v>8.5</v>
      </c>
    </row>
    <row r="405" spans="1:7" x14ac:dyDescent="0.25">
      <c r="B405" s="4" t="s">
        <v>807</v>
      </c>
      <c r="C405" s="4" t="s">
        <v>808</v>
      </c>
      <c r="D405" s="4">
        <v>19</v>
      </c>
      <c r="E405" s="7">
        <v>161.49</v>
      </c>
      <c r="F405" s="5">
        <f t="shared" si="6"/>
        <v>8.4994736842105265</v>
      </c>
    </row>
    <row r="406" spans="1:7" x14ac:dyDescent="0.25">
      <c r="B406" s="4" t="s">
        <v>809</v>
      </c>
      <c r="C406" s="4" t="s">
        <v>810</v>
      </c>
      <c r="D406" s="7">
        <v>20</v>
      </c>
      <c r="E406" s="4">
        <v>167.7</v>
      </c>
      <c r="F406" s="5">
        <f t="shared" si="6"/>
        <v>8.3849999999999998</v>
      </c>
    </row>
    <row r="407" spans="1:7" x14ac:dyDescent="0.25">
      <c r="B407" s="4" t="s">
        <v>811</v>
      </c>
      <c r="C407" s="4" t="s">
        <v>812</v>
      </c>
      <c r="D407" s="4">
        <v>113</v>
      </c>
      <c r="E407" s="4">
        <v>942.76</v>
      </c>
      <c r="F407" s="5">
        <f t="shared" si="6"/>
        <v>8.3430088495575223</v>
      </c>
    </row>
    <row r="408" spans="1:7" x14ac:dyDescent="0.25">
      <c r="B408" s="4" t="s">
        <v>813</v>
      </c>
      <c r="C408" s="4" t="s">
        <v>814</v>
      </c>
      <c r="D408" s="4">
        <v>88</v>
      </c>
      <c r="E408" s="4">
        <v>730.33</v>
      </c>
      <c r="F408" s="5">
        <f t="shared" si="6"/>
        <v>8.2992045454545451</v>
      </c>
    </row>
    <row r="409" spans="1:7" x14ac:dyDescent="0.25">
      <c r="A409">
        <v>99</v>
      </c>
      <c r="B409" s="4" t="s">
        <v>815</v>
      </c>
      <c r="C409" s="4" t="s">
        <v>816</v>
      </c>
      <c r="D409" s="4">
        <v>45</v>
      </c>
      <c r="E409" s="4">
        <v>369.97</v>
      </c>
      <c r="F409" s="5">
        <f t="shared" si="6"/>
        <v>8.2215555555555557</v>
      </c>
    </row>
    <row r="410" spans="1:7" x14ac:dyDescent="0.25">
      <c r="B410" s="4" t="s">
        <v>817</v>
      </c>
      <c r="C410" s="4" t="s">
        <v>818</v>
      </c>
      <c r="D410" s="4">
        <v>1060</v>
      </c>
      <c r="E410" s="4">
        <v>8586</v>
      </c>
      <c r="F410" s="5">
        <f t="shared" si="6"/>
        <v>8.1</v>
      </c>
    </row>
    <row r="411" spans="1:7" x14ac:dyDescent="0.25">
      <c r="B411" s="4" t="s">
        <v>819</v>
      </c>
      <c r="C411" s="4" t="s">
        <v>820</v>
      </c>
      <c r="D411" s="4">
        <v>10</v>
      </c>
      <c r="E411" s="7">
        <v>80.16</v>
      </c>
      <c r="F411" s="5">
        <f t="shared" si="6"/>
        <v>8.016</v>
      </c>
    </row>
    <row r="412" spans="1:7" x14ac:dyDescent="0.25">
      <c r="A412">
        <v>544</v>
      </c>
      <c r="B412" s="4" t="s">
        <v>821</v>
      </c>
      <c r="C412" s="4" t="s">
        <v>822</v>
      </c>
      <c r="D412" s="4">
        <v>55</v>
      </c>
      <c r="E412" s="4">
        <v>439.89</v>
      </c>
      <c r="F412" s="5">
        <f t="shared" si="6"/>
        <v>7.9979999999999993</v>
      </c>
    </row>
    <row r="413" spans="1:7" x14ac:dyDescent="0.25">
      <c r="A413">
        <v>371</v>
      </c>
      <c r="B413" s="4" t="s">
        <v>823</v>
      </c>
      <c r="C413" s="4" t="s">
        <v>824</v>
      </c>
      <c r="D413" s="4">
        <v>2</v>
      </c>
      <c r="E413" s="4">
        <v>15.99</v>
      </c>
      <c r="F413" s="5">
        <f t="shared" si="6"/>
        <v>7.9950000000000001</v>
      </c>
      <c r="G413" t="e">
        <f>+VLOOKUP(B413,'[1]Hoja 1'!$B:$H,7,0)</f>
        <v>#N/A</v>
      </c>
    </row>
    <row r="414" spans="1:7" x14ac:dyDescent="0.25">
      <c r="A414">
        <v>29</v>
      </c>
      <c r="B414" s="4" t="s">
        <v>825</v>
      </c>
      <c r="C414" s="4" t="s">
        <v>826</v>
      </c>
      <c r="D414" s="4">
        <v>2</v>
      </c>
      <c r="E414" s="4">
        <v>15.99</v>
      </c>
      <c r="F414" s="5">
        <f t="shared" si="6"/>
        <v>7.9950000000000001</v>
      </c>
    </row>
    <row r="415" spans="1:7" x14ac:dyDescent="0.25">
      <c r="B415" s="4" t="s">
        <v>827</v>
      </c>
      <c r="C415" s="4" t="s">
        <v>828</v>
      </c>
      <c r="D415" s="4">
        <v>96</v>
      </c>
      <c r="E415" s="4">
        <v>757.15</v>
      </c>
      <c r="F415" s="5">
        <f t="shared" si="6"/>
        <v>7.8869791666666664</v>
      </c>
    </row>
    <row r="416" spans="1:7" x14ac:dyDescent="0.25">
      <c r="B416" s="4" t="s">
        <v>829</v>
      </c>
      <c r="C416" s="4" t="s">
        <v>830</v>
      </c>
      <c r="D416" s="4">
        <v>20</v>
      </c>
      <c r="E416" s="4">
        <v>156.52000000000001</v>
      </c>
      <c r="F416" s="5">
        <f t="shared" si="6"/>
        <v>7.8260000000000005</v>
      </c>
    </row>
    <row r="417" spans="1:7" x14ac:dyDescent="0.25">
      <c r="B417" s="4" t="s">
        <v>831</v>
      </c>
      <c r="C417" s="4" t="s">
        <v>832</v>
      </c>
      <c r="D417" s="4">
        <v>97</v>
      </c>
      <c r="E417" s="4">
        <v>756.02</v>
      </c>
      <c r="F417" s="5">
        <f t="shared" si="6"/>
        <v>7.7940206185567007</v>
      </c>
    </row>
    <row r="418" spans="1:7" x14ac:dyDescent="0.25">
      <c r="B418" s="4" t="s">
        <v>833</v>
      </c>
      <c r="C418" s="4" t="s">
        <v>834</v>
      </c>
      <c r="D418" s="4">
        <v>20</v>
      </c>
      <c r="E418" s="4">
        <v>154.80000000000001</v>
      </c>
      <c r="F418" s="5">
        <f t="shared" si="6"/>
        <v>7.74</v>
      </c>
    </row>
    <row r="419" spans="1:7" x14ac:dyDescent="0.25">
      <c r="A419">
        <v>314</v>
      </c>
      <c r="B419" s="4" t="s">
        <v>835</v>
      </c>
      <c r="C419" s="4" t="s">
        <v>836</v>
      </c>
      <c r="D419" s="4">
        <v>5</v>
      </c>
      <c r="E419" s="4">
        <v>38.4</v>
      </c>
      <c r="F419" s="5">
        <f t="shared" si="6"/>
        <v>7.68</v>
      </c>
    </row>
    <row r="420" spans="1:7" x14ac:dyDescent="0.25">
      <c r="A420">
        <v>74</v>
      </c>
      <c r="B420" s="4" t="s">
        <v>837</v>
      </c>
      <c r="C420" s="4" t="s">
        <v>838</v>
      </c>
      <c r="D420" s="4">
        <v>70</v>
      </c>
      <c r="E420" s="4">
        <v>537.25</v>
      </c>
      <c r="F420" s="5">
        <f t="shared" si="6"/>
        <v>7.6749999999999998</v>
      </c>
    </row>
    <row r="421" spans="1:7" x14ac:dyDescent="0.25">
      <c r="B421" s="4" t="s">
        <v>839</v>
      </c>
      <c r="C421" s="4" t="s">
        <v>840</v>
      </c>
      <c r="D421" s="4">
        <v>78</v>
      </c>
      <c r="E421" s="4">
        <v>597.01</v>
      </c>
      <c r="F421" s="5">
        <f t="shared" si="6"/>
        <v>7.6539743589743585</v>
      </c>
    </row>
    <row r="422" spans="1:7" x14ac:dyDescent="0.25">
      <c r="B422" s="4" t="s">
        <v>841</v>
      </c>
      <c r="C422" s="4" t="s">
        <v>842</v>
      </c>
      <c r="D422" s="4">
        <v>10</v>
      </c>
      <c r="E422" s="7">
        <v>76.23</v>
      </c>
      <c r="F422" s="5">
        <f t="shared" si="6"/>
        <v>7.6230000000000002</v>
      </c>
    </row>
    <row r="423" spans="1:7" x14ac:dyDescent="0.25">
      <c r="B423" s="4" t="s">
        <v>843</v>
      </c>
      <c r="C423" s="4" t="s">
        <v>844</v>
      </c>
      <c r="D423" s="4">
        <v>27</v>
      </c>
      <c r="E423" s="4">
        <v>204.12</v>
      </c>
      <c r="F423" s="5">
        <f t="shared" si="6"/>
        <v>7.5600000000000005</v>
      </c>
    </row>
    <row r="424" spans="1:7" x14ac:dyDescent="0.25">
      <c r="A424">
        <v>405</v>
      </c>
      <c r="B424" s="4" t="s">
        <v>845</v>
      </c>
      <c r="C424" s="4" t="s">
        <v>846</v>
      </c>
      <c r="D424" s="4">
        <v>1190</v>
      </c>
      <c r="E424" s="7">
        <v>8864.6</v>
      </c>
      <c r="F424" s="5">
        <f t="shared" si="6"/>
        <v>7.449243697478992</v>
      </c>
    </row>
    <row r="425" spans="1:7" x14ac:dyDescent="0.25">
      <c r="A425">
        <v>365</v>
      </c>
      <c r="B425" s="4" t="s">
        <v>847</v>
      </c>
      <c r="C425" s="4" t="s">
        <v>848</v>
      </c>
      <c r="D425" s="4">
        <v>14</v>
      </c>
      <c r="E425" s="7">
        <v>104.21</v>
      </c>
      <c r="F425" s="5">
        <f t="shared" si="6"/>
        <v>7.4435714285714285</v>
      </c>
    </row>
    <row r="426" spans="1:7" x14ac:dyDescent="0.25">
      <c r="A426">
        <v>196</v>
      </c>
      <c r="B426" s="4" t="s">
        <v>849</v>
      </c>
      <c r="C426" s="4" t="s">
        <v>850</v>
      </c>
      <c r="D426" s="7">
        <v>43</v>
      </c>
      <c r="E426" s="7">
        <v>319.93</v>
      </c>
      <c r="F426" s="5">
        <f t="shared" si="6"/>
        <v>7.4402325581395354</v>
      </c>
      <c r="G426" t="e">
        <f>+VLOOKUP(B426,'[1]Hoja 1'!$B:$H,7,0)</f>
        <v>#N/A</v>
      </c>
    </row>
    <row r="427" spans="1:7" x14ac:dyDescent="0.25">
      <c r="A427">
        <v>416</v>
      </c>
      <c r="B427" s="4" t="s">
        <v>851</v>
      </c>
      <c r="C427" s="4" t="s">
        <v>852</v>
      </c>
      <c r="D427" s="4">
        <v>9</v>
      </c>
      <c r="E427" s="7">
        <v>66.5</v>
      </c>
      <c r="F427" s="5">
        <f t="shared" si="6"/>
        <v>7.3888888888888893</v>
      </c>
    </row>
    <row r="428" spans="1:7" x14ac:dyDescent="0.25">
      <c r="A428">
        <v>242</v>
      </c>
      <c r="B428" s="4" t="s">
        <v>853</v>
      </c>
      <c r="C428" s="4" t="s">
        <v>854</v>
      </c>
      <c r="D428" s="4">
        <v>127</v>
      </c>
      <c r="E428" s="4">
        <v>919.1</v>
      </c>
      <c r="F428" s="5">
        <f t="shared" si="6"/>
        <v>7.237007874015748</v>
      </c>
      <c r="G428" t="e">
        <f>+VLOOKUP(B428,'[1]Hoja 1'!$B:$H,7,0)</f>
        <v>#N/A</v>
      </c>
    </row>
    <row r="429" spans="1:7" x14ac:dyDescent="0.25">
      <c r="B429" s="4" t="s">
        <v>855</v>
      </c>
      <c r="C429" s="4" t="s">
        <v>856</v>
      </c>
      <c r="D429" s="4">
        <v>206</v>
      </c>
      <c r="E429" s="4">
        <v>1464.33</v>
      </c>
      <c r="F429" s="5">
        <f t="shared" si="6"/>
        <v>7.1083980582524271</v>
      </c>
    </row>
    <row r="430" spans="1:7" x14ac:dyDescent="0.25">
      <c r="B430" s="4" t="s">
        <v>857</v>
      </c>
      <c r="C430" s="4" t="s">
        <v>858</v>
      </c>
      <c r="D430" s="4">
        <v>97</v>
      </c>
      <c r="E430" s="7">
        <v>688.99</v>
      </c>
      <c r="F430" s="5">
        <f t="shared" si="6"/>
        <v>7.1029896907216497</v>
      </c>
    </row>
    <row r="431" spans="1:7" x14ac:dyDescent="0.25">
      <c r="A431">
        <v>455</v>
      </c>
      <c r="B431" s="4" t="s">
        <v>859</v>
      </c>
      <c r="C431" s="4" t="s">
        <v>860</v>
      </c>
      <c r="D431" s="4">
        <v>32</v>
      </c>
      <c r="E431" s="7">
        <v>224</v>
      </c>
      <c r="F431" s="5">
        <f t="shared" si="6"/>
        <v>7</v>
      </c>
    </row>
    <row r="432" spans="1:7" x14ac:dyDescent="0.25">
      <c r="B432" s="4" t="s">
        <v>861</v>
      </c>
      <c r="C432" s="4" t="s">
        <v>862</v>
      </c>
      <c r="D432" s="4">
        <v>18</v>
      </c>
      <c r="E432" s="7">
        <v>126</v>
      </c>
      <c r="F432" s="5">
        <f t="shared" si="6"/>
        <v>7</v>
      </c>
    </row>
    <row r="433" spans="1:7" x14ac:dyDescent="0.25">
      <c r="A433">
        <v>495</v>
      </c>
      <c r="B433" s="4" t="s">
        <v>863</v>
      </c>
      <c r="C433" s="4" t="s">
        <v>864</v>
      </c>
      <c r="D433" s="4">
        <v>15</v>
      </c>
      <c r="E433" s="7">
        <v>105</v>
      </c>
      <c r="F433" s="5">
        <f t="shared" si="6"/>
        <v>7</v>
      </c>
    </row>
    <row r="434" spans="1:7" x14ac:dyDescent="0.25">
      <c r="A434">
        <v>298</v>
      </c>
      <c r="B434" s="4" t="s">
        <v>865</v>
      </c>
      <c r="C434" s="4" t="s">
        <v>866</v>
      </c>
      <c r="D434" s="4">
        <v>15</v>
      </c>
      <c r="E434" s="7">
        <v>105</v>
      </c>
      <c r="F434" s="5">
        <f t="shared" si="6"/>
        <v>7</v>
      </c>
    </row>
    <row r="435" spans="1:7" x14ac:dyDescent="0.25">
      <c r="A435">
        <v>483</v>
      </c>
      <c r="B435" s="4" t="s">
        <v>867</v>
      </c>
      <c r="C435" s="4" t="s">
        <v>868</v>
      </c>
      <c r="D435" s="4">
        <v>10</v>
      </c>
      <c r="E435" s="7">
        <v>70</v>
      </c>
      <c r="F435" s="5">
        <f t="shared" si="6"/>
        <v>7</v>
      </c>
      <c r="G435" t="e">
        <f>+VLOOKUP(B435,'[1]Hoja 1'!$B:$H,7,0)</f>
        <v>#N/A</v>
      </c>
    </row>
    <row r="436" spans="1:7" x14ac:dyDescent="0.25">
      <c r="B436" s="4" t="s">
        <v>869</v>
      </c>
      <c r="C436" s="4" t="s">
        <v>870</v>
      </c>
      <c r="D436" s="4">
        <v>36</v>
      </c>
      <c r="E436" s="7">
        <v>250.2</v>
      </c>
      <c r="F436" s="5">
        <f t="shared" si="6"/>
        <v>6.9499999999999993</v>
      </c>
    </row>
    <row r="437" spans="1:7" x14ac:dyDescent="0.25">
      <c r="B437" s="4" t="s">
        <v>871</v>
      </c>
      <c r="C437" s="4" t="s">
        <v>872</v>
      </c>
      <c r="D437" s="4">
        <v>26</v>
      </c>
      <c r="E437" s="4">
        <v>180.18</v>
      </c>
      <c r="F437" s="5">
        <f t="shared" si="6"/>
        <v>6.9300000000000006</v>
      </c>
    </row>
    <row r="438" spans="1:7" x14ac:dyDescent="0.25">
      <c r="B438" s="4" t="s">
        <v>873</v>
      </c>
      <c r="C438" s="4" t="s">
        <v>874</v>
      </c>
      <c r="D438" s="4">
        <v>15</v>
      </c>
      <c r="E438" s="7">
        <v>103.57</v>
      </c>
      <c r="F438" s="5">
        <f t="shared" si="6"/>
        <v>6.9046666666666665</v>
      </c>
    </row>
    <row r="439" spans="1:7" x14ac:dyDescent="0.25">
      <c r="A439">
        <v>514</v>
      </c>
      <c r="B439" s="4" t="s">
        <v>875</v>
      </c>
      <c r="C439" s="4" t="s">
        <v>876</v>
      </c>
      <c r="D439" s="4">
        <v>22</v>
      </c>
      <c r="E439" s="7">
        <v>151.03</v>
      </c>
      <c r="F439" s="5">
        <f t="shared" si="6"/>
        <v>6.8650000000000002</v>
      </c>
    </row>
    <row r="440" spans="1:7" x14ac:dyDescent="0.25">
      <c r="B440" s="4" t="s">
        <v>877</v>
      </c>
      <c r="C440" s="4" t="s">
        <v>878</v>
      </c>
      <c r="D440" s="4">
        <v>23</v>
      </c>
      <c r="E440" s="4">
        <v>157.32</v>
      </c>
      <c r="F440" s="5">
        <f t="shared" si="6"/>
        <v>6.84</v>
      </c>
    </row>
    <row r="441" spans="1:7" x14ac:dyDescent="0.25">
      <c r="A441">
        <v>435</v>
      </c>
      <c r="B441" s="4" t="s">
        <v>879</v>
      </c>
      <c r="C441" s="4" t="s">
        <v>880</v>
      </c>
      <c r="D441" s="4">
        <v>100</v>
      </c>
      <c r="E441" s="7">
        <v>678</v>
      </c>
      <c r="F441" s="5">
        <f t="shared" si="6"/>
        <v>6.78</v>
      </c>
    </row>
    <row r="442" spans="1:7" x14ac:dyDescent="0.25">
      <c r="A442">
        <v>239</v>
      </c>
      <c r="B442" s="4" t="s">
        <v>881</v>
      </c>
      <c r="C442" s="4" t="s">
        <v>882</v>
      </c>
      <c r="D442" s="4">
        <v>21</v>
      </c>
      <c r="E442" s="4">
        <v>142</v>
      </c>
      <c r="F442" s="5">
        <f t="shared" si="6"/>
        <v>6.7619047619047619</v>
      </c>
    </row>
    <row r="443" spans="1:7" x14ac:dyDescent="0.25">
      <c r="B443" s="4" t="s">
        <v>883</v>
      </c>
      <c r="C443" s="4" t="s">
        <v>884</v>
      </c>
      <c r="D443" s="4">
        <v>11</v>
      </c>
      <c r="E443" s="4">
        <v>74.38</v>
      </c>
      <c r="F443" s="5">
        <f t="shared" si="6"/>
        <v>6.7618181818181817</v>
      </c>
    </row>
    <row r="444" spans="1:7" x14ac:dyDescent="0.25">
      <c r="B444" s="4" t="s">
        <v>885</v>
      </c>
      <c r="C444" s="4" t="s">
        <v>886</v>
      </c>
      <c r="D444" s="4">
        <v>27</v>
      </c>
      <c r="E444" s="4">
        <v>181.71</v>
      </c>
      <c r="F444" s="5">
        <f t="shared" si="6"/>
        <v>6.73</v>
      </c>
    </row>
    <row r="445" spans="1:7" x14ac:dyDescent="0.25">
      <c r="A445">
        <v>321</v>
      </c>
      <c r="B445" s="4" t="s">
        <v>887</v>
      </c>
      <c r="C445" s="4" t="s">
        <v>888</v>
      </c>
      <c r="D445" s="4">
        <v>16</v>
      </c>
      <c r="E445" s="7">
        <v>106.64</v>
      </c>
      <c r="F445" s="5">
        <f t="shared" si="6"/>
        <v>6.665</v>
      </c>
    </row>
    <row r="446" spans="1:7" x14ac:dyDescent="0.25">
      <c r="A446">
        <v>221</v>
      </c>
      <c r="B446" s="4" t="s">
        <v>889</v>
      </c>
      <c r="C446" s="4" t="s">
        <v>890</v>
      </c>
      <c r="D446" s="4">
        <v>12</v>
      </c>
      <c r="E446" s="7">
        <v>79.91</v>
      </c>
      <c r="F446" s="5">
        <f t="shared" si="6"/>
        <v>6.6591666666666667</v>
      </c>
    </row>
    <row r="447" spans="1:7" x14ac:dyDescent="0.25">
      <c r="B447" s="4" t="s">
        <v>891</v>
      </c>
      <c r="C447" s="4" t="s">
        <v>892</v>
      </c>
      <c r="D447" s="4">
        <v>61</v>
      </c>
      <c r="E447" s="4">
        <v>402.6</v>
      </c>
      <c r="F447" s="5">
        <f t="shared" si="6"/>
        <v>6.6000000000000005</v>
      </c>
    </row>
    <row r="448" spans="1:7" x14ac:dyDescent="0.25">
      <c r="B448" s="4" t="s">
        <v>893</v>
      </c>
      <c r="C448" s="4" t="s">
        <v>894</v>
      </c>
      <c r="D448" s="4">
        <v>2</v>
      </c>
      <c r="E448" s="7">
        <v>13.11</v>
      </c>
      <c r="F448" s="5">
        <f t="shared" si="6"/>
        <v>6.5549999999999997</v>
      </c>
    </row>
    <row r="449" spans="1:6" x14ac:dyDescent="0.25">
      <c r="B449" s="4" t="s">
        <v>895</v>
      </c>
      <c r="C449" s="4" t="s">
        <v>896</v>
      </c>
      <c r="D449" s="4">
        <v>25</v>
      </c>
      <c r="E449" s="7">
        <v>162.33000000000001</v>
      </c>
      <c r="F449" s="5">
        <f t="shared" si="6"/>
        <v>6.4932000000000007</v>
      </c>
    </row>
    <row r="450" spans="1:6" x14ac:dyDescent="0.25">
      <c r="B450" s="4" t="s">
        <v>897</v>
      </c>
      <c r="C450" s="4" t="s">
        <v>898</v>
      </c>
      <c r="D450" s="4">
        <v>9</v>
      </c>
      <c r="E450" s="4">
        <v>58.32</v>
      </c>
      <c r="F450" s="5">
        <f t="shared" ref="F450:F513" si="7">+IFERROR(E450/D450,0)</f>
        <v>6.48</v>
      </c>
    </row>
    <row r="451" spans="1:6" x14ac:dyDescent="0.25">
      <c r="A451">
        <v>214</v>
      </c>
      <c r="B451" s="4" t="s">
        <v>899</v>
      </c>
      <c r="C451" s="4" t="s">
        <v>900</v>
      </c>
      <c r="D451" s="4">
        <v>25</v>
      </c>
      <c r="E451" s="4">
        <v>160.25</v>
      </c>
      <c r="F451" s="5">
        <f t="shared" si="7"/>
        <v>6.41</v>
      </c>
    </row>
    <row r="452" spans="1:6" x14ac:dyDescent="0.25">
      <c r="B452" s="4" t="s">
        <v>901</v>
      </c>
      <c r="C452" s="4" t="s">
        <v>902</v>
      </c>
      <c r="D452" s="4">
        <v>45</v>
      </c>
      <c r="E452" s="4">
        <v>288</v>
      </c>
      <c r="F452" s="5">
        <f t="shared" si="7"/>
        <v>6.4</v>
      </c>
    </row>
    <row r="453" spans="1:6" x14ac:dyDescent="0.25">
      <c r="A453">
        <v>88</v>
      </c>
      <c r="B453" s="4" t="s">
        <v>903</v>
      </c>
      <c r="C453" s="4" t="s">
        <v>904</v>
      </c>
      <c r="D453" s="4">
        <v>21</v>
      </c>
      <c r="E453" s="7">
        <v>134.4</v>
      </c>
      <c r="F453" s="5">
        <f t="shared" si="7"/>
        <v>6.4</v>
      </c>
    </row>
    <row r="454" spans="1:6" x14ac:dyDescent="0.25">
      <c r="B454" s="4" t="s">
        <v>905</v>
      </c>
      <c r="C454" s="4" t="s">
        <v>906</v>
      </c>
      <c r="D454" s="4">
        <v>17</v>
      </c>
      <c r="E454" s="7">
        <v>108.8</v>
      </c>
      <c r="F454" s="5">
        <f t="shared" si="7"/>
        <v>6.3999999999999995</v>
      </c>
    </row>
    <row r="455" spans="1:6" x14ac:dyDescent="0.25">
      <c r="B455" s="4" t="s">
        <v>907</v>
      </c>
      <c r="C455" s="4" t="s">
        <v>908</v>
      </c>
      <c r="D455" s="7">
        <v>131</v>
      </c>
      <c r="E455" s="4">
        <v>837.09</v>
      </c>
      <c r="F455" s="5">
        <f t="shared" si="7"/>
        <v>6.3900000000000006</v>
      </c>
    </row>
    <row r="456" spans="1:6" x14ac:dyDescent="0.25">
      <c r="B456" s="4" t="s">
        <v>909</v>
      </c>
      <c r="C456" s="4" t="s">
        <v>910</v>
      </c>
      <c r="D456" s="4">
        <v>100</v>
      </c>
      <c r="E456" s="4">
        <v>614</v>
      </c>
      <c r="F456" s="5">
        <f t="shared" si="7"/>
        <v>6.14</v>
      </c>
    </row>
    <row r="457" spans="1:6" x14ac:dyDescent="0.25">
      <c r="A457">
        <v>487</v>
      </c>
      <c r="B457" s="4" t="s">
        <v>911</v>
      </c>
      <c r="C457" s="4" t="s">
        <v>912</v>
      </c>
      <c r="D457" s="4">
        <v>64</v>
      </c>
      <c r="E457" s="7">
        <v>391.81</v>
      </c>
      <c r="F457" s="5">
        <f t="shared" si="7"/>
        <v>6.12203125</v>
      </c>
    </row>
    <row r="458" spans="1:6" x14ac:dyDescent="0.25">
      <c r="B458" s="4" t="s">
        <v>913</v>
      </c>
      <c r="C458" s="4" t="s">
        <v>914</v>
      </c>
      <c r="D458" s="4">
        <v>166</v>
      </c>
      <c r="E458" s="4">
        <v>1012.17</v>
      </c>
      <c r="F458" s="5">
        <f t="shared" si="7"/>
        <v>6.0974096385542165</v>
      </c>
    </row>
    <row r="459" spans="1:6" x14ac:dyDescent="0.25">
      <c r="B459" s="4" t="s">
        <v>915</v>
      </c>
      <c r="C459" s="4" t="s">
        <v>916</v>
      </c>
      <c r="D459" s="4">
        <v>39</v>
      </c>
      <c r="E459" s="4">
        <v>235.01</v>
      </c>
      <c r="F459" s="5">
        <f t="shared" si="7"/>
        <v>6.025897435897436</v>
      </c>
    </row>
    <row r="460" spans="1:6" x14ac:dyDescent="0.25">
      <c r="B460" s="4" t="s">
        <v>917</v>
      </c>
      <c r="C460" s="4" t="s">
        <v>918</v>
      </c>
      <c r="D460" s="4">
        <v>25</v>
      </c>
      <c r="E460" s="4">
        <v>150</v>
      </c>
      <c r="F460" s="5">
        <f t="shared" si="7"/>
        <v>6</v>
      </c>
    </row>
    <row r="461" spans="1:6" x14ac:dyDescent="0.25">
      <c r="B461" s="4" t="s">
        <v>919</v>
      </c>
      <c r="C461" s="4" t="s">
        <v>920</v>
      </c>
      <c r="D461" s="4">
        <v>1191</v>
      </c>
      <c r="E461" s="7">
        <v>7122.18</v>
      </c>
      <c r="F461" s="5">
        <f t="shared" si="7"/>
        <v>5.98</v>
      </c>
    </row>
    <row r="462" spans="1:6" x14ac:dyDescent="0.25">
      <c r="B462" s="4" t="s">
        <v>921</v>
      </c>
      <c r="C462" s="4" t="s">
        <v>922</v>
      </c>
      <c r="D462" s="4">
        <v>41</v>
      </c>
      <c r="E462" s="4">
        <v>244.45</v>
      </c>
      <c r="F462" s="5">
        <f t="shared" si="7"/>
        <v>5.9621951219512193</v>
      </c>
    </row>
    <row r="463" spans="1:6" x14ac:dyDescent="0.25">
      <c r="B463" s="4" t="s">
        <v>923</v>
      </c>
      <c r="C463" s="4" t="s">
        <v>924</v>
      </c>
      <c r="D463" s="4">
        <v>947</v>
      </c>
      <c r="E463" s="4">
        <v>5646.02</v>
      </c>
      <c r="F463" s="5">
        <f t="shared" si="7"/>
        <v>5.9620063357972546</v>
      </c>
    </row>
    <row r="464" spans="1:6" x14ac:dyDescent="0.25">
      <c r="B464" s="4" t="s">
        <v>925</v>
      </c>
      <c r="C464" s="4" t="s">
        <v>926</v>
      </c>
      <c r="D464" s="4">
        <v>74</v>
      </c>
      <c r="E464" s="4">
        <v>436.6</v>
      </c>
      <c r="F464" s="5">
        <f t="shared" si="7"/>
        <v>5.9</v>
      </c>
    </row>
    <row r="465" spans="1:7" x14ac:dyDescent="0.25">
      <c r="A465">
        <v>18</v>
      </c>
      <c r="B465" s="4" t="s">
        <v>927</v>
      </c>
      <c r="C465" s="4" t="s">
        <v>928</v>
      </c>
      <c r="D465" s="4">
        <v>84</v>
      </c>
      <c r="E465" s="7">
        <v>491.99</v>
      </c>
      <c r="F465" s="5">
        <f t="shared" si="7"/>
        <v>5.8570238095238096</v>
      </c>
      <c r="G465" t="e">
        <f>+VLOOKUP(B465,'[1]Hoja 1'!$B:$H,7,0)</f>
        <v>#N/A</v>
      </c>
    </row>
    <row r="466" spans="1:7" x14ac:dyDescent="0.25">
      <c r="B466" s="4" t="s">
        <v>929</v>
      </c>
      <c r="C466" s="4" t="s">
        <v>930</v>
      </c>
      <c r="D466" s="4">
        <v>75</v>
      </c>
      <c r="E466" s="4">
        <v>433.5</v>
      </c>
      <c r="F466" s="5">
        <f t="shared" si="7"/>
        <v>5.78</v>
      </c>
    </row>
    <row r="467" spans="1:7" x14ac:dyDescent="0.25">
      <c r="B467" s="4" t="s">
        <v>931</v>
      </c>
      <c r="C467" s="4" t="s">
        <v>932</v>
      </c>
      <c r="D467" s="4">
        <v>12</v>
      </c>
      <c r="E467" s="4">
        <v>68.239999999999995</v>
      </c>
      <c r="F467" s="5">
        <f t="shared" si="7"/>
        <v>5.6866666666666665</v>
      </c>
    </row>
    <row r="468" spans="1:7" x14ac:dyDescent="0.25">
      <c r="B468" s="4" t="s">
        <v>933</v>
      </c>
      <c r="C468" s="4" t="s">
        <v>934</v>
      </c>
      <c r="D468" s="4">
        <v>7</v>
      </c>
      <c r="E468" s="4">
        <v>39.46</v>
      </c>
      <c r="F468" s="5">
        <f t="shared" si="7"/>
        <v>5.637142857142857</v>
      </c>
    </row>
    <row r="469" spans="1:7" x14ac:dyDescent="0.25">
      <c r="B469" s="4" t="s">
        <v>935</v>
      </c>
      <c r="C469" s="4" t="s">
        <v>936</v>
      </c>
      <c r="D469" s="4">
        <v>246</v>
      </c>
      <c r="E469" s="7">
        <v>1385.15</v>
      </c>
      <c r="F469" s="5">
        <f t="shared" si="7"/>
        <v>5.6306910569105693</v>
      </c>
    </row>
    <row r="470" spans="1:7" x14ac:dyDescent="0.25">
      <c r="B470" s="4" t="s">
        <v>937</v>
      </c>
      <c r="C470" s="4" t="s">
        <v>938</v>
      </c>
      <c r="D470" s="4">
        <v>21</v>
      </c>
      <c r="E470" s="4">
        <v>116.5</v>
      </c>
      <c r="F470" s="5">
        <f t="shared" si="7"/>
        <v>5.5476190476190474</v>
      </c>
    </row>
    <row r="471" spans="1:7" x14ac:dyDescent="0.25">
      <c r="A471">
        <v>374</v>
      </c>
      <c r="B471" s="4" t="s">
        <v>939</v>
      </c>
      <c r="C471" s="4" t="s">
        <v>940</v>
      </c>
      <c r="D471" s="4">
        <v>88</v>
      </c>
      <c r="E471" s="4">
        <v>473.44</v>
      </c>
      <c r="F471" s="5">
        <f t="shared" si="7"/>
        <v>5.38</v>
      </c>
    </row>
    <row r="472" spans="1:7" x14ac:dyDescent="0.25">
      <c r="B472" s="4" t="s">
        <v>941</v>
      </c>
      <c r="C472" s="4" t="s">
        <v>942</v>
      </c>
      <c r="D472" s="4">
        <v>82</v>
      </c>
      <c r="E472" s="4">
        <v>441.16</v>
      </c>
      <c r="F472" s="5">
        <f t="shared" si="7"/>
        <v>5.38</v>
      </c>
    </row>
    <row r="473" spans="1:7" x14ac:dyDescent="0.25">
      <c r="B473" s="4" t="s">
        <v>943</v>
      </c>
      <c r="C473" s="4" t="s">
        <v>944</v>
      </c>
      <c r="D473" s="4">
        <v>5</v>
      </c>
      <c r="E473" s="4">
        <v>26.9</v>
      </c>
      <c r="F473" s="5">
        <f t="shared" si="7"/>
        <v>5.38</v>
      </c>
    </row>
    <row r="474" spans="1:7" x14ac:dyDescent="0.25">
      <c r="B474" s="4" t="s">
        <v>945</v>
      </c>
      <c r="C474" s="4" t="s">
        <v>946</v>
      </c>
      <c r="D474" s="4">
        <v>52</v>
      </c>
      <c r="E474" s="7">
        <v>275.5</v>
      </c>
      <c r="F474" s="5">
        <f t="shared" si="7"/>
        <v>5.2980769230769234</v>
      </c>
    </row>
    <row r="475" spans="1:7" x14ac:dyDescent="0.25">
      <c r="A475">
        <v>50</v>
      </c>
      <c r="B475" s="4" t="s">
        <v>947</v>
      </c>
      <c r="C475" s="4" t="s">
        <v>948</v>
      </c>
      <c r="D475" s="7">
        <v>20</v>
      </c>
      <c r="E475" s="4">
        <v>103.2</v>
      </c>
      <c r="F475" s="5">
        <f t="shared" si="7"/>
        <v>5.16</v>
      </c>
      <c r="G475" t="e">
        <f>+VLOOKUP(B475,'[1]Hoja 1'!$B:$H,7,0)</f>
        <v>#N/A</v>
      </c>
    </row>
    <row r="476" spans="1:7" x14ac:dyDescent="0.25">
      <c r="A476">
        <v>52</v>
      </c>
      <c r="B476" s="4" t="s">
        <v>949</v>
      </c>
      <c r="C476" s="4" t="s">
        <v>950</v>
      </c>
      <c r="D476" s="4">
        <v>431</v>
      </c>
      <c r="E476" s="4">
        <v>2211.0100000000002</v>
      </c>
      <c r="F476" s="5">
        <f t="shared" si="7"/>
        <v>5.1299535962877032</v>
      </c>
    </row>
    <row r="477" spans="1:7" x14ac:dyDescent="0.25">
      <c r="A477">
        <v>421</v>
      </c>
      <c r="B477" s="4" t="s">
        <v>951</v>
      </c>
      <c r="C477" s="4" t="s">
        <v>952</v>
      </c>
      <c r="D477" s="4">
        <v>31</v>
      </c>
      <c r="E477" s="4">
        <v>158.5</v>
      </c>
      <c r="F477" s="5">
        <f t="shared" si="7"/>
        <v>5.112903225806452</v>
      </c>
    </row>
    <row r="478" spans="1:7" x14ac:dyDescent="0.25">
      <c r="B478" s="4" t="s">
        <v>953</v>
      </c>
      <c r="C478" s="4" t="s">
        <v>954</v>
      </c>
      <c r="D478" s="7">
        <v>24</v>
      </c>
      <c r="E478" s="4">
        <v>121.68</v>
      </c>
      <c r="F478" s="5">
        <f t="shared" si="7"/>
        <v>5.07</v>
      </c>
    </row>
    <row r="479" spans="1:7" x14ac:dyDescent="0.25">
      <c r="A479">
        <v>80</v>
      </c>
      <c r="B479" s="4" t="s">
        <v>955</v>
      </c>
      <c r="C479" s="4" t="s">
        <v>956</v>
      </c>
      <c r="D479" s="4">
        <v>17</v>
      </c>
      <c r="E479" s="4">
        <v>85</v>
      </c>
      <c r="F479" s="5">
        <f t="shared" si="7"/>
        <v>5</v>
      </c>
    </row>
    <row r="480" spans="1:7" x14ac:dyDescent="0.25">
      <c r="B480" s="4" t="s">
        <v>957</v>
      </c>
      <c r="C480" s="4" t="s">
        <v>958</v>
      </c>
      <c r="D480" s="4">
        <v>8</v>
      </c>
      <c r="E480" s="4">
        <v>40</v>
      </c>
      <c r="F480" s="5">
        <f t="shared" si="7"/>
        <v>5</v>
      </c>
    </row>
    <row r="481" spans="1:7" x14ac:dyDescent="0.25">
      <c r="B481" s="4" t="s">
        <v>959</v>
      </c>
      <c r="C481" s="4" t="s">
        <v>960</v>
      </c>
      <c r="D481" s="4">
        <v>28.44</v>
      </c>
      <c r="E481" s="4">
        <v>141.44</v>
      </c>
      <c r="F481" s="5">
        <f t="shared" si="7"/>
        <v>4.9732770745428967</v>
      </c>
    </row>
    <row r="482" spans="1:7" x14ac:dyDescent="0.25">
      <c r="B482" s="4" t="s">
        <v>961</v>
      </c>
      <c r="C482" s="4" t="s">
        <v>962</v>
      </c>
      <c r="D482" s="4">
        <v>165</v>
      </c>
      <c r="E482" s="7">
        <v>811.8</v>
      </c>
      <c r="F482" s="5">
        <f t="shared" si="7"/>
        <v>4.92</v>
      </c>
    </row>
    <row r="483" spans="1:7" x14ac:dyDescent="0.25">
      <c r="B483" s="4" t="s">
        <v>963</v>
      </c>
      <c r="C483" s="4" t="s">
        <v>964</v>
      </c>
      <c r="D483" s="4">
        <v>57</v>
      </c>
      <c r="E483" s="4">
        <v>279.3</v>
      </c>
      <c r="F483" s="5">
        <f t="shared" si="7"/>
        <v>4.9000000000000004</v>
      </c>
    </row>
    <row r="484" spans="1:7" x14ac:dyDescent="0.25">
      <c r="A484">
        <v>375</v>
      </c>
      <c r="B484" s="4" t="s">
        <v>965</v>
      </c>
      <c r="C484" s="4" t="s">
        <v>966</v>
      </c>
      <c r="D484" s="4">
        <v>189</v>
      </c>
      <c r="E484" s="4">
        <v>925.16</v>
      </c>
      <c r="F484" s="5">
        <f t="shared" si="7"/>
        <v>4.8950264550264553</v>
      </c>
    </row>
    <row r="485" spans="1:7" x14ac:dyDescent="0.25">
      <c r="A485">
        <v>547</v>
      </c>
      <c r="B485" s="4" t="s">
        <v>967</v>
      </c>
      <c r="C485" s="4" t="s">
        <v>968</v>
      </c>
      <c r="D485" s="7">
        <v>112</v>
      </c>
      <c r="E485" s="4">
        <v>545.54999999999995</v>
      </c>
      <c r="F485" s="5">
        <f t="shared" si="7"/>
        <v>4.8709821428571427</v>
      </c>
    </row>
    <row r="486" spans="1:7" x14ac:dyDescent="0.25">
      <c r="B486" s="4" t="s">
        <v>969</v>
      </c>
      <c r="C486" s="4" t="s">
        <v>970</v>
      </c>
      <c r="D486" s="7">
        <v>53</v>
      </c>
      <c r="E486" s="4">
        <v>255.99</v>
      </c>
      <c r="F486" s="5">
        <f t="shared" si="7"/>
        <v>4.83</v>
      </c>
    </row>
    <row r="487" spans="1:7" x14ac:dyDescent="0.25">
      <c r="B487" s="4" t="s">
        <v>971</v>
      </c>
      <c r="C487" s="4" t="s">
        <v>972</v>
      </c>
      <c r="D487" s="4">
        <v>57</v>
      </c>
      <c r="E487" s="4">
        <v>274.51</v>
      </c>
      <c r="F487" s="5">
        <f t="shared" si="7"/>
        <v>4.8159649122807018</v>
      </c>
    </row>
    <row r="488" spans="1:7" x14ac:dyDescent="0.25">
      <c r="B488" s="4" t="s">
        <v>973</v>
      </c>
      <c r="C488" s="4" t="s">
        <v>974</v>
      </c>
      <c r="D488" s="7">
        <v>7</v>
      </c>
      <c r="E488" s="4">
        <v>33.56</v>
      </c>
      <c r="F488" s="5">
        <f t="shared" si="7"/>
        <v>4.7942857142857145</v>
      </c>
    </row>
    <row r="489" spans="1:7" x14ac:dyDescent="0.25">
      <c r="B489" s="4" t="s">
        <v>975</v>
      </c>
      <c r="C489" s="4" t="s">
        <v>976</v>
      </c>
      <c r="D489" s="4">
        <v>897.4</v>
      </c>
      <c r="E489" s="4">
        <v>4279.46</v>
      </c>
      <c r="F489" s="5">
        <f t="shared" si="7"/>
        <v>4.7687318921328288</v>
      </c>
    </row>
    <row r="490" spans="1:7" x14ac:dyDescent="0.25">
      <c r="B490" s="4" t="s">
        <v>977</v>
      </c>
      <c r="C490" s="4" t="s">
        <v>978</v>
      </c>
      <c r="D490" s="4">
        <v>190</v>
      </c>
      <c r="E490" s="4">
        <v>903</v>
      </c>
      <c r="F490" s="5">
        <f t="shared" si="7"/>
        <v>4.7526315789473683</v>
      </c>
    </row>
    <row r="491" spans="1:7" x14ac:dyDescent="0.25">
      <c r="A491">
        <v>511</v>
      </c>
      <c r="B491" s="4" t="s">
        <v>979</v>
      </c>
      <c r="C491" s="4" t="s">
        <v>980</v>
      </c>
      <c r="D491" s="4">
        <v>89</v>
      </c>
      <c r="E491" s="7">
        <v>420.53</v>
      </c>
      <c r="F491" s="5">
        <f t="shared" si="7"/>
        <v>4.7250561797752804</v>
      </c>
    </row>
    <row r="492" spans="1:7" x14ac:dyDescent="0.25">
      <c r="B492" s="4" t="s">
        <v>981</v>
      </c>
      <c r="C492" s="4" t="s">
        <v>982</v>
      </c>
      <c r="D492" s="4">
        <v>9</v>
      </c>
      <c r="E492" s="4">
        <v>41.6</v>
      </c>
      <c r="F492" s="5">
        <f t="shared" si="7"/>
        <v>4.6222222222222227</v>
      </c>
    </row>
    <row r="493" spans="1:7" x14ac:dyDescent="0.25">
      <c r="B493" s="4" t="s">
        <v>983</v>
      </c>
      <c r="C493" s="4" t="s">
        <v>984</v>
      </c>
      <c r="D493" s="4">
        <v>32</v>
      </c>
      <c r="E493" s="4">
        <v>147.52000000000001</v>
      </c>
      <c r="F493" s="5">
        <f t="shared" si="7"/>
        <v>4.6100000000000003</v>
      </c>
      <c r="G493" t="e">
        <f>+VLOOKUP(B493,'[1]Hoja 1'!$B:$H,7,0)</f>
        <v>#N/A</v>
      </c>
    </row>
    <row r="494" spans="1:7" x14ac:dyDescent="0.25">
      <c r="A494">
        <v>410</v>
      </c>
      <c r="B494" s="4" t="s">
        <v>985</v>
      </c>
      <c r="C494" s="4" t="s">
        <v>986</v>
      </c>
      <c r="D494" s="4">
        <v>122</v>
      </c>
      <c r="E494" s="7">
        <v>562.41999999999996</v>
      </c>
      <c r="F494" s="5">
        <f t="shared" si="7"/>
        <v>4.6099999999999994</v>
      </c>
    </row>
    <row r="495" spans="1:7" x14ac:dyDescent="0.25">
      <c r="A495">
        <v>31</v>
      </c>
      <c r="B495" s="4" t="s">
        <v>987</v>
      </c>
      <c r="C495" s="4" t="s">
        <v>988</v>
      </c>
      <c r="D495" s="4">
        <v>61</v>
      </c>
      <c r="E495" s="7">
        <v>281.20999999999998</v>
      </c>
      <c r="F495" s="5">
        <f t="shared" si="7"/>
        <v>4.6099999999999994</v>
      </c>
    </row>
    <row r="496" spans="1:7" x14ac:dyDescent="0.25">
      <c r="A496">
        <v>442</v>
      </c>
      <c r="B496" s="4" t="s">
        <v>989</v>
      </c>
      <c r="C496" s="4" t="s">
        <v>990</v>
      </c>
      <c r="D496" s="4">
        <v>8</v>
      </c>
      <c r="E496" s="7">
        <v>36.78</v>
      </c>
      <c r="F496" s="5">
        <f t="shared" si="7"/>
        <v>4.5975000000000001</v>
      </c>
    </row>
    <row r="497" spans="1:6" x14ac:dyDescent="0.25">
      <c r="A497">
        <v>462</v>
      </c>
      <c r="B497" s="4" t="s">
        <v>991</v>
      </c>
      <c r="C497" s="4" t="s">
        <v>992</v>
      </c>
      <c r="D497" s="4">
        <v>25</v>
      </c>
      <c r="E497" s="4">
        <v>114.62</v>
      </c>
      <c r="F497" s="5">
        <f t="shared" si="7"/>
        <v>4.5848000000000004</v>
      </c>
    </row>
    <row r="498" spans="1:6" x14ac:dyDescent="0.25">
      <c r="A498">
        <v>199</v>
      </c>
      <c r="B498" s="4" t="s">
        <v>993</v>
      </c>
      <c r="C498" s="4" t="s">
        <v>994</v>
      </c>
      <c r="D498" s="4">
        <v>86</v>
      </c>
      <c r="E498" s="4">
        <v>393.88</v>
      </c>
      <c r="F498" s="5">
        <f t="shared" si="7"/>
        <v>4.58</v>
      </c>
    </row>
    <row r="499" spans="1:6" x14ac:dyDescent="0.25">
      <c r="A499">
        <v>274</v>
      </c>
      <c r="B499" s="4" t="s">
        <v>995</v>
      </c>
      <c r="C499" s="4" t="s">
        <v>996</v>
      </c>
      <c r="D499" s="4">
        <v>8</v>
      </c>
      <c r="E499" s="4">
        <v>36.6</v>
      </c>
      <c r="F499" s="5">
        <f t="shared" si="7"/>
        <v>4.5750000000000002</v>
      </c>
    </row>
    <row r="500" spans="1:6" x14ac:dyDescent="0.25">
      <c r="B500" s="4" t="s">
        <v>997</v>
      </c>
      <c r="C500" s="4" t="s">
        <v>998</v>
      </c>
      <c r="D500" s="4">
        <v>20</v>
      </c>
      <c r="E500" s="4">
        <v>91</v>
      </c>
      <c r="F500" s="5">
        <f t="shared" si="7"/>
        <v>4.55</v>
      </c>
    </row>
    <row r="501" spans="1:6" x14ac:dyDescent="0.25">
      <c r="B501" s="4" t="s">
        <v>999</v>
      </c>
      <c r="C501" s="4" t="s">
        <v>1000</v>
      </c>
      <c r="D501" s="4">
        <v>592</v>
      </c>
      <c r="E501" s="4">
        <v>2685.31</v>
      </c>
      <c r="F501" s="5">
        <f t="shared" si="7"/>
        <v>4.5359966216216216</v>
      </c>
    </row>
    <row r="502" spans="1:6" x14ac:dyDescent="0.25">
      <c r="B502" s="4" t="s">
        <v>1001</v>
      </c>
      <c r="C502" s="4" t="s">
        <v>1002</v>
      </c>
      <c r="D502" s="4">
        <v>89</v>
      </c>
      <c r="E502" s="7">
        <v>400.86</v>
      </c>
      <c r="F502" s="5">
        <f t="shared" si="7"/>
        <v>4.504044943820225</v>
      </c>
    </row>
    <row r="503" spans="1:6" x14ac:dyDescent="0.25">
      <c r="B503" s="4" t="s">
        <v>1003</v>
      </c>
      <c r="C503" s="4" t="s">
        <v>1004</v>
      </c>
      <c r="D503" s="4">
        <v>38</v>
      </c>
      <c r="E503" s="4">
        <v>171</v>
      </c>
      <c r="F503" s="5">
        <f t="shared" si="7"/>
        <v>4.5</v>
      </c>
    </row>
    <row r="504" spans="1:6" x14ac:dyDescent="0.25">
      <c r="B504" s="4" t="s">
        <v>1005</v>
      </c>
      <c r="C504" s="4" t="s">
        <v>1006</v>
      </c>
      <c r="D504" s="4">
        <v>19</v>
      </c>
      <c r="E504" s="4">
        <v>85.5</v>
      </c>
      <c r="F504" s="5">
        <f t="shared" si="7"/>
        <v>4.5</v>
      </c>
    </row>
    <row r="505" spans="1:6" x14ac:dyDescent="0.25">
      <c r="B505" s="4" t="s">
        <v>1007</v>
      </c>
      <c r="C505" s="4" t="s">
        <v>1008</v>
      </c>
      <c r="D505" s="4">
        <v>23</v>
      </c>
      <c r="E505" s="4">
        <v>102.35</v>
      </c>
      <c r="F505" s="5">
        <f t="shared" si="7"/>
        <v>4.45</v>
      </c>
    </row>
    <row r="506" spans="1:6" x14ac:dyDescent="0.25">
      <c r="B506" s="4" t="s">
        <v>1009</v>
      </c>
      <c r="C506" s="4" t="s">
        <v>1010</v>
      </c>
      <c r="D506" s="4">
        <v>6</v>
      </c>
      <c r="E506" s="4">
        <v>26.7</v>
      </c>
      <c r="F506" s="5">
        <f t="shared" si="7"/>
        <v>4.45</v>
      </c>
    </row>
    <row r="507" spans="1:6" x14ac:dyDescent="0.25">
      <c r="B507" s="4" t="s">
        <v>1011</v>
      </c>
      <c r="C507" s="4" t="s">
        <v>1012</v>
      </c>
      <c r="D507" s="4">
        <v>4</v>
      </c>
      <c r="E507" s="4">
        <v>17.64</v>
      </c>
      <c r="F507" s="5">
        <f t="shared" si="7"/>
        <v>4.41</v>
      </c>
    </row>
    <row r="508" spans="1:6" x14ac:dyDescent="0.25">
      <c r="B508" s="4" t="s">
        <v>1013</v>
      </c>
      <c r="C508" s="4" t="s">
        <v>1014</v>
      </c>
      <c r="D508" s="4">
        <v>1995</v>
      </c>
      <c r="E508" s="4">
        <v>8406.93</v>
      </c>
      <c r="F508" s="5">
        <f t="shared" si="7"/>
        <v>4.2140000000000004</v>
      </c>
    </row>
    <row r="509" spans="1:6" x14ac:dyDescent="0.25">
      <c r="B509" s="4" t="s">
        <v>1015</v>
      </c>
      <c r="C509" s="4" t="s">
        <v>1016</v>
      </c>
      <c r="D509" s="4">
        <v>21</v>
      </c>
      <c r="E509" s="7">
        <v>88.49</v>
      </c>
      <c r="F509" s="5">
        <f t="shared" si="7"/>
        <v>4.2138095238095232</v>
      </c>
    </row>
    <row r="510" spans="1:6" x14ac:dyDescent="0.25">
      <c r="B510" s="4" t="s">
        <v>1017</v>
      </c>
      <c r="C510" s="4" t="s">
        <v>1018</v>
      </c>
      <c r="D510" s="4">
        <v>43</v>
      </c>
      <c r="E510" s="4">
        <v>180.6</v>
      </c>
      <c r="F510" s="5">
        <f t="shared" si="7"/>
        <v>4.2</v>
      </c>
    </row>
    <row r="511" spans="1:6" x14ac:dyDescent="0.25">
      <c r="B511" s="4" t="s">
        <v>1019</v>
      </c>
      <c r="C511" s="4" t="s">
        <v>1020</v>
      </c>
      <c r="D511" s="4">
        <v>16</v>
      </c>
      <c r="E511" s="4">
        <v>67.2</v>
      </c>
      <c r="F511" s="5">
        <f t="shared" si="7"/>
        <v>4.2</v>
      </c>
    </row>
    <row r="512" spans="1:6" x14ac:dyDescent="0.25">
      <c r="B512" s="4" t="s">
        <v>1021</v>
      </c>
      <c r="C512" s="4" t="s">
        <v>1022</v>
      </c>
      <c r="D512" s="4">
        <v>15</v>
      </c>
      <c r="E512" s="4">
        <v>63</v>
      </c>
      <c r="F512" s="5">
        <f t="shared" si="7"/>
        <v>4.2</v>
      </c>
    </row>
    <row r="513" spans="1:6" x14ac:dyDescent="0.25">
      <c r="B513" s="4" t="s">
        <v>1023</v>
      </c>
      <c r="C513" s="4" t="s">
        <v>1024</v>
      </c>
      <c r="D513" s="4">
        <v>336</v>
      </c>
      <c r="E513" s="4">
        <v>1387.01</v>
      </c>
      <c r="F513" s="5">
        <f t="shared" si="7"/>
        <v>4.1280059523809527</v>
      </c>
    </row>
    <row r="514" spans="1:6" x14ac:dyDescent="0.25">
      <c r="A514">
        <v>141</v>
      </c>
      <c r="B514" s="4" t="s">
        <v>1025</v>
      </c>
      <c r="C514" s="4" t="s">
        <v>1026</v>
      </c>
      <c r="D514" s="4">
        <v>53</v>
      </c>
      <c r="E514" s="4">
        <v>216.29</v>
      </c>
      <c r="F514" s="5">
        <f t="shared" ref="F514:F577" si="8">+IFERROR(E514/D514,0)</f>
        <v>4.0809433962264148</v>
      </c>
    </row>
    <row r="515" spans="1:6" x14ac:dyDescent="0.25">
      <c r="A515">
        <v>226</v>
      </c>
      <c r="B515" s="4" t="s">
        <v>1027</v>
      </c>
      <c r="C515" s="4" t="s">
        <v>1028</v>
      </c>
      <c r="D515" s="4">
        <v>40</v>
      </c>
      <c r="E515" s="7">
        <v>158.4</v>
      </c>
      <c r="F515" s="5">
        <f t="shared" si="8"/>
        <v>3.96</v>
      </c>
    </row>
    <row r="516" spans="1:6" x14ac:dyDescent="0.25">
      <c r="A516">
        <v>536</v>
      </c>
      <c r="B516" s="4" t="s">
        <v>1029</v>
      </c>
      <c r="C516" s="4" t="s">
        <v>1030</v>
      </c>
      <c r="D516" s="4">
        <v>34</v>
      </c>
      <c r="E516" s="4">
        <v>134.63999999999999</v>
      </c>
      <c r="F516" s="5">
        <f t="shared" si="8"/>
        <v>3.9599999999999995</v>
      </c>
    </row>
    <row r="517" spans="1:6" x14ac:dyDescent="0.25">
      <c r="B517" s="4" t="s">
        <v>1031</v>
      </c>
      <c r="C517" s="4" t="s">
        <v>1032</v>
      </c>
      <c r="D517" s="4">
        <v>1051</v>
      </c>
      <c r="E517" s="4">
        <v>4114.67</v>
      </c>
      <c r="F517" s="5">
        <f t="shared" si="8"/>
        <v>3.9150047573739295</v>
      </c>
    </row>
    <row r="518" spans="1:6" x14ac:dyDescent="0.25">
      <c r="B518" s="4" t="s">
        <v>1033</v>
      </c>
      <c r="C518" s="4" t="s">
        <v>1034</v>
      </c>
      <c r="D518" s="4">
        <v>39</v>
      </c>
      <c r="E518" s="4">
        <v>152.1</v>
      </c>
      <c r="F518" s="5">
        <f t="shared" si="8"/>
        <v>3.9</v>
      </c>
    </row>
    <row r="519" spans="1:6" x14ac:dyDescent="0.25">
      <c r="B519" s="4" t="s">
        <v>1035</v>
      </c>
      <c r="C519" s="4" t="s">
        <v>1036</v>
      </c>
      <c r="D519" s="4">
        <v>30</v>
      </c>
      <c r="E519" s="4">
        <v>116.99</v>
      </c>
      <c r="F519" s="5">
        <f t="shared" si="8"/>
        <v>3.8996666666666666</v>
      </c>
    </row>
    <row r="520" spans="1:6" x14ac:dyDescent="0.25">
      <c r="B520" s="4" t="s">
        <v>1037</v>
      </c>
      <c r="C520" s="4" t="s">
        <v>1038</v>
      </c>
      <c r="D520" s="4">
        <v>204.08</v>
      </c>
      <c r="E520" s="4">
        <v>790.35</v>
      </c>
      <c r="F520" s="5">
        <f t="shared" si="8"/>
        <v>3.8727459819678556</v>
      </c>
    </row>
    <row r="521" spans="1:6" x14ac:dyDescent="0.25">
      <c r="B521" s="4" t="s">
        <v>1039</v>
      </c>
      <c r="C521" s="4" t="s">
        <v>1040</v>
      </c>
      <c r="D521" s="4">
        <v>128</v>
      </c>
      <c r="E521" s="4">
        <v>494.08</v>
      </c>
      <c r="F521" s="5">
        <f t="shared" si="8"/>
        <v>3.86</v>
      </c>
    </row>
    <row r="522" spans="1:6" x14ac:dyDescent="0.25">
      <c r="B522" s="4" t="s">
        <v>1041</v>
      </c>
      <c r="C522" s="4" t="s">
        <v>1042</v>
      </c>
      <c r="D522" s="4">
        <v>32</v>
      </c>
      <c r="E522" s="4">
        <v>123.52</v>
      </c>
      <c r="F522" s="5">
        <f t="shared" si="8"/>
        <v>3.86</v>
      </c>
    </row>
    <row r="523" spans="1:6" x14ac:dyDescent="0.25">
      <c r="A523">
        <v>319</v>
      </c>
      <c r="B523" s="4" t="s">
        <v>1043</v>
      </c>
      <c r="C523" s="4" t="s">
        <v>1044</v>
      </c>
      <c r="D523" s="4">
        <v>102</v>
      </c>
      <c r="E523" s="4">
        <v>391.27</v>
      </c>
      <c r="F523" s="5">
        <f t="shared" si="8"/>
        <v>3.8359803921568627</v>
      </c>
    </row>
    <row r="524" spans="1:6" x14ac:dyDescent="0.25">
      <c r="B524" s="4" t="s">
        <v>1045</v>
      </c>
      <c r="C524" s="4" t="s">
        <v>1046</v>
      </c>
      <c r="D524" s="4">
        <v>193</v>
      </c>
      <c r="E524" s="4">
        <v>723.75</v>
      </c>
      <c r="F524" s="5">
        <f t="shared" si="8"/>
        <v>3.75</v>
      </c>
    </row>
    <row r="525" spans="1:6" x14ac:dyDescent="0.25">
      <c r="B525" s="4" t="s">
        <v>1047</v>
      </c>
      <c r="C525" s="4" t="s">
        <v>1048</v>
      </c>
      <c r="D525" s="4">
        <v>153</v>
      </c>
      <c r="E525" s="4">
        <v>573.75</v>
      </c>
      <c r="F525" s="5">
        <f t="shared" si="8"/>
        <v>3.75</v>
      </c>
    </row>
    <row r="526" spans="1:6" x14ac:dyDescent="0.25">
      <c r="A526">
        <v>43</v>
      </c>
      <c r="B526" s="4" t="s">
        <v>1049</v>
      </c>
      <c r="C526" s="4" t="s">
        <v>1050</v>
      </c>
      <c r="D526" s="7">
        <v>187</v>
      </c>
      <c r="E526" s="4">
        <v>697.51</v>
      </c>
      <c r="F526" s="5">
        <f t="shared" si="8"/>
        <v>3.73</v>
      </c>
    </row>
    <row r="527" spans="1:6" x14ac:dyDescent="0.25">
      <c r="B527" s="4" t="s">
        <v>1051</v>
      </c>
      <c r="C527" s="4" t="s">
        <v>1052</v>
      </c>
      <c r="D527" s="4">
        <v>148</v>
      </c>
      <c r="E527" s="7">
        <v>551.44000000000005</v>
      </c>
      <c r="F527" s="5">
        <f t="shared" si="8"/>
        <v>3.7259459459459463</v>
      </c>
    </row>
    <row r="528" spans="1:6" x14ac:dyDescent="0.25">
      <c r="B528" s="4" t="s">
        <v>1053</v>
      </c>
      <c r="C528" s="4" t="s">
        <v>1054</v>
      </c>
      <c r="D528" s="4">
        <v>5</v>
      </c>
      <c r="E528" s="4">
        <v>18.579999999999998</v>
      </c>
      <c r="F528" s="5">
        <f t="shared" si="8"/>
        <v>3.7159999999999997</v>
      </c>
    </row>
    <row r="529" spans="1:7" x14ac:dyDescent="0.25">
      <c r="B529" s="4" t="s">
        <v>1055</v>
      </c>
      <c r="C529" s="4" t="s">
        <v>1056</v>
      </c>
      <c r="D529" s="4">
        <v>88</v>
      </c>
      <c r="E529" s="7">
        <v>326.48</v>
      </c>
      <c r="F529" s="5">
        <f t="shared" si="8"/>
        <v>3.7100000000000004</v>
      </c>
    </row>
    <row r="530" spans="1:7" x14ac:dyDescent="0.25">
      <c r="B530" s="4" t="s">
        <v>1057</v>
      </c>
      <c r="C530" s="4" t="s">
        <v>1058</v>
      </c>
      <c r="D530" s="4">
        <v>7</v>
      </c>
      <c r="E530" s="4">
        <v>25.9</v>
      </c>
      <c r="F530" s="5">
        <f t="shared" si="8"/>
        <v>3.6999999999999997</v>
      </c>
    </row>
    <row r="531" spans="1:7" x14ac:dyDescent="0.25">
      <c r="A531">
        <v>437</v>
      </c>
      <c r="B531" s="4" t="s">
        <v>1059</v>
      </c>
      <c r="C531" s="4" t="s">
        <v>1060</v>
      </c>
      <c r="D531" s="4">
        <v>3</v>
      </c>
      <c r="E531" s="4">
        <v>11.05</v>
      </c>
      <c r="F531" s="5">
        <f t="shared" si="8"/>
        <v>3.6833333333333336</v>
      </c>
    </row>
    <row r="532" spans="1:7" x14ac:dyDescent="0.25">
      <c r="B532" s="4" t="s">
        <v>1061</v>
      </c>
      <c r="C532" s="4" t="s">
        <v>1062</v>
      </c>
      <c r="D532" s="4">
        <v>123</v>
      </c>
      <c r="E532" s="7">
        <v>451.9</v>
      </c>
      <c r="F532" s="5">
        <f t="shared" si="8"/>
        <v>3.6739837398373982</v>
      </c>
    </row>
    <row r="533" spans="1:7" x14ac:dyDescent="0.25">
      <c r="A533">
        <v>447</v>
      </c>
      <c r="B533" s="4" t="s">
        <v>1063</v>
      </c>
      <c r="C533" s="4" t="s">
        <v>1064</v>
      </c>
      <c r="D533" s="4">
        <v>140</v>
      </c>
      <c r="E533" s="7">
        <v>511</v>
      </c>
      <c r="F533" s="5">
        <f t="shared" si="8"/>
        <v>3.65</v>
      </c>
      <c r="G533" t="e">
        <f>+VLOOKUP(B533,'[1]Hoja 1'!$B:$H,7,0)</f>
        <v>#N/A</v>
      </c>
    </row>
    <row r="534" spans="1:7" x14ac:dyDescent="0.25">
      <c r="A534">
        <v>129</v>
      </c>
      <c r="B534" s="4" t="s">
        <v>1065</v>
      </c>
      <c r="C534" s="4" t="s">
        <v>1066</v>
      </c>
      <c r="D534" s="4">
        <v>9</v>
      </c>
      <c r="E534" s="7">
        <v>32.74</v>
      </c>
      <c r="F534" s="5">
        <f t="shared" si="8"/>
        <v>3.637777777777778</v>
      </c>
    </row>
    <row r="535" spans="1:7" x14ac:dyDescent="0.25">
      <c r="A535">
        <v>143</v>
      </c>
      <c r="B535" s="4" t="s">
        <v>1067</v>
      </c>
      <c r="C535" s="4" t="s">
        <v>1068</v>
      </c>
      <c r="D535" s="4">
        <v>53</v>
      </c>
      <c r="E535" s="4">
        <v>191.44</v>
      </c>
      <c r="F535" s="5">
        <f t="shared" si="8"/>
        <v>3.6120754716981134</v>
      </c>
    </row>
    <row r="536" spans="1:7" x14ac:dyDescent="0.25">
      <c r="B536" s="4" t="s">
        <v>1069</v>
      </c>
      <c r="C536" s="4" t="s">
        <v>1070</v>
      </c>
      <c r="D536" s="4">
        <v>130</v>
      </c>
      <c r="E536" s="7">
        <v>464.1</v>
      </c>
      <c r="F536" s="5">
        <f t="shared" si="8"/>
        <v>3.5700000000000003</v>
      </c>
    </row>
    <row r="537" spans="1:7" x14ac:dyDescent="0.25">
      <c r="B537" s="4" t="s">
        <v>1071</v>
      </c>
      <c r="C537" s="4" t="s">
        <v>1072</v>
      </c>
      <c r="D537" s="4">
        <v>88</v>
      </c>
      <c r="E537" s="7">
        <v>313.89</v>
      </c>
      <c r="F537" s="5">
        <f t="shared" si="8"/>
        <v>3.5669318181818181</v>
      </c>
    </row>
    <row r="538" spans="1:7" x14ac:dyDescent="0.25">
      <c r="A538">
        <v>438</v>
      </c>
      <c r="B538" s="4" t="s">
        <v>1073</v>
      </c>
      <c r="C538" s="4" t="s">
        <v>1074</v>
      </c>
      <c r="D538" s="4">
        <v>224</v>
      </c>
      <c r="E538" s="4">
        <v>792.96</v>
      </c>
      <c r="F538" s="5">
        <f t="shared" si="8"/>
        <v>3.54</v>
      </c>
    </row>
    <row r="539" spans="1:7" x14ac:dyDescent="0.25">
      <c r="A539">
        <v>84</v>
      </c>
      <c r="B539" s="4" t="s">
        <v>1075</v>
      </c>
      <c r="C539" s="4" t="s">
        <v>1076</v>
      </c>
      <c r="D539" s="4">
        <v>57</v>
      </c>
      <c r="E539" s="4">
        <v>200.98</v>
      </c>
      <c r="F539" s="5">
        <f t="shared" si="8"/>
        <v>3.5259649122807017</v>
      </c>
    </row>
    <row r="540" spans="1:7" x14ac:dyDescent="0.25">
      <c r="A540">
        <v>265</v>
      </c>
      <c r="B540" s="4" t="s">
        <v>1077</v>
      </c>
      <c r="C540" s="4" t="s">
        <v>1078</v>
      </c>
      <c r="D540" s="4">
        <v>61</v>
      </c>
      <c r="E540" s="4">
        <v>213.5</v>
      </c>
      <c r="F540" s="5">
        <f t="shared" si="8"/>
        <v>3.5</v>
      </c>
    </row>
    <row r="541" spans="1:7" x14ac:dyDescent="0.25">
      <c r="A541">
        <v>280</v>
      </c>
      <c r="B541" s="4" t="s">
        <v>1079</v>
      </c>
      <c r="C541" s="4" t="s">
        <v>1080</v>
      </c>
      <c r="D541" s="4">
        <v>14</v>
      </c>
      <c r="E541" s="4">
        <v>49</v>
      </c>
      <c r="F541" s="5">
        <f t="shared" si="8"/>
        <v>3.5</v>
      </c>
    </row>
    <row r="542" spans="1:7" x14ac:dyDescent="0.25">
      <c r="B542" s="4" t="s">
        <v>1081</v>
      </c>
      <c r="C542" s="4" t="s">
        <v>1082</v>
      </c>
      <c r="D542" s="4">
        <v>9</v>
      </c>
      <c r="E542" s="4">
        <v>31.5</v>
      </c>
      <c r="F542" s="5">
        <f t="shared" si="8"/>
        <v>3.5</v>
      </c>
    </row>
    <row r="543" spans="1:7" x14ac:dyDescent="0.25">
      <c r="A543">
        <v>484</v>
      </c>
      <c r="B543" s="4" t="s">
        <v>1083</v>
      </c>
      <c r="C543" s="4" t="s">
        <v>1084</v>
      </c>
      <c r="D543" s="4">
        <v>20</v>
      </c>
      <c r="E543" s="7">
        <v>69.739999999999995</v>
      </c>
      <c r="F543" s="5">
        <f t="shared" si="8"/>
        <v>3.4869999999999997</v>
      </c>
    </row>
    <row r="544" spans="1:7" x14ac:dyDescent="0.25">
      <c r="B544" s="4" t="s">
        <v>1085</v>
      </c>
      <c r="C544" s="4" t="s">
        <v>1086</v>
      </c>
      <c r="D544" s="4">
        <v>257</v>
      </c>
      <c r="E544" s="4">
        <v>883.48</v>
      </c>
      <c r="F544" s="5">
        <f t="shared" si="8"/>
        <v>3.4376653696498054</v>
      </c>
    </row>
    <row r="545" spans="1:6" x14ac:dyDescent="0.25">
      <c r="A545">
        <v>449</v>
      </c>
      <c r="B545" s="4" t="s">
        <v>1087</v>
      </c>
      <c r="C545" s="4" t="s">
        <v>1088</v>
      </c>
      <c r="D545" s="4">
        <v>2</v>
      </c>
      <c r="E545" s="7">
        <v>6.86</v>
      </c>
      <c r="F545" s="5">
        <f t="shared" si="8"/>
        <v>3.43</v>
      </c>
    </row>
    <row r="546" spans="1:6" x14ac:dyDescent="0.25">
      <c r="B546" s="4" t="s">
        <v>1089</v>
      </c>
      <c r="C546" s="4" t="s">
        <v>1090</v>
      </c>
      <c r="D546" s="4">
        <v>43</v>
      </c>
      <c r="E546" s="4">
        <v>147.15</v>
      </c>
      <c r="F546" s="5">
        <f t="shared" si="8"/>
        <v>3.422093023255814</v>
      </c>
    </row>
    <row r="547" spans="1:6" x14ac:dyDescent="0.25">
      <c r="B547" s="4" t="s">
        <v>1091</v>
      </c>
      <c r="C547" s="4" t="s">
        <v>1092</v>
      </c>
      <c r="D547" s="4">
        <v>200</v>
      </c>
      <c r="E547" s="4">
        <v>680</v>
      </c>
      <c r="F547" s="5">
        <f t="shared" si="8"/>
        <v>3.4</v>
      </c>
    </row>
    <row r="548" spans="1:6" x14ac:dyDescent="0.25">
      <c r="B548" s="4" t="s">
        <v>1093</v>
      </c>
      <c r="C548" s="4" t="s">
        <v>1094</v>
      </c>
      <c r="D548" s="4">
        <v>22</v>
      </c>
      <c r="E548" s="7">
        <v>73.75</v>
      </c>
      <c r="F548" s="5">
        <f t="shared" si="8"/>
        <v>3.3522727272727271</v>
      </c>
    </row>
    <row r="549" spans="1:6" x14ac:dyDescent="0.25">
      <c r="A549">
        <v>282</v>
      </c>
      <c r="B549" s="4" t="s">
        <v>1095</v>
      </c>
      <c r="C549" s="4" t="s">
        <v>1096</v>
      </c>
      <c r="D549" s="4">
        <v>56</v>
      </c>
      <c r="E549" s="4">
        <v>186.48</v>
      </c>
      <c r="F549" s="5">
        <f t="shared" si="8"/>
        <v>3.3299999999999996</v>
      </c>
    </row>
    <row r="550" spans="1:6" x14ac:dyDescent="0.25">
      <c r="B550" s="4" t="s">
        <v>1097</v>
      </c>
      <c r="C550" s="4" t="s">
        <v>1098</v>
      </c>
      <c r="D550" s="4">
        <v>15</v>
      </c>
      <c r="E550" s="4">
        <v>49.26</v>
      </c>
      <c r="F550" s="5">
        <f t="shared" si="8"/>
        <v>3.2839999999999998</v>
      </c>
    </row>
    <row r="551" spans="1:6" x14ac:dyDescent="0.25">
      <c r="A551">
        <v>28</v>
      </c>
      <c r="B551" s="4" t="s">
        <v>1099</v>
      </c>
      <c r="C551" s="4" t="s">
        <v>1100</v>
      </c>
      <c r="D551" s="4">
        <v>618</v>
      </c>
      <c r="E551" s="4">
        <v>1996.62</v>
      </c>
      <c r="F551" s="5">
        <f t="shared" si="8"/>
        <v>3.2307766990291262</v>
      </c>
    </row>
    <row r="552" spans="1:6" x14ac:dyDescent="0.25">
      <c r="B552" s="4" t="s">
        <v>1101</v>
      </c>
      <c r="C552" s="4" t="s">
        <v>1102</v>
      </c>
      <c r="D552" s="4">
        <v>57</v>
      </c>
      <c r="E552" s="4">
        <v>181.37</v>
      </c>
      <c r="F552" s="5">
        <f t="shared" si="8"/>
        <v>3.1819298245614034</v>
      </c>
    </row>
    <row r="553" spans="1:6" x14ac:dyDescent="0.25">
      <c r="B553" s="4" t="s">
        <v>1103</v>
      </c>
      <c r="C553" s="4" t="s">
        <v>1104</v>
      </c>
      <c r="D553" s="4">
        <v>9</v>
      </c>
      <c r="E553" s="7">
        <v>28.25</v>
      </c>
      <c r="F553" s="5">
        <f t="shared" si="8"/>
        <v>3.1388888888888888</v>
      </c>
    </row>
    <row r="554" spans="1:6" x14ac:dyDescent="0.25">
      <c r="B554" s="4" t="s">
        <v>1105</v>
      </c>
      <c r="C554" s="4" t="s">
        <v>1106</v>
      </c>
      <c r="D554" s="4">
        <v>9</v>
      </c>
      <c r="E554" s="7">
        <v>28.25</v>
      </c>
      <c r="F554" s="5">
        <f t="shared" si="8"/>
        <v>3.1388888888888888</v>
      </c>
    </row>
    <row r="555" spans="1:6" x14ac:dyDescent="0.25">
      <c r="B555" s="4" t="s">
        <v>1107</v>
      </c>
      <c r="C555" s="4" t="s">
        <v>1108</v>
      </c>
      <c r="D555" s="4">
        <v>30</v>
      </c>
      <c r="E555" s="4">
        <v>92.91</v>
      </c>
      <c r="F555" s="5">
        <f t="shared" si="8"/>
        <v>3.097</v>
      </c>
    </row>
    <row r="556" spans="1:6" x14ac:dyDescent="0.25">
      <c r="A556">
        <v>427</v>
      </c>
      <c r="B556" s="4" t="s">
        <v>1109</v>
      </c>
      <c r="C556" s="4" t="s">
        <v>1110</v>
      </c>
      <c r="D556" s="4">
        <v>141</v>
      </c>
      <c r="E556" s="4">
        <v>436.67</v>
      </c>
      <c r="F556" s="5">
        <f t="shared" si="8"/>
        <v>3.0969503546099291</v>
      </c>
    </row>
    <row r="557" spans="1:6" x14ac:dyDescent="0.25">
      <c r="B557" s="4" t="s">
        <v>1111</v>
      </c>
      <c r="C557" s="4" t="s">
        <v>1112</v>
      </c>
      <c r="D557" s="4">
        <v>186</v>
      </c>
      <c r="E557" s="4">
        <v>559.86</v>
      </c>
      <c r="F557" s="5">
        <f t="shared" si="8"/>
        <v>3.0100000000000002</v>
      </c>
    </row>
    <row r="558" spans="1:6" x14ac:dyDescent="0.25">
      <c r="B558" s="4" t="s">
        <v>1113</v>
      </c>
      <c r="C558" s="4" t="s">
        <v>1114</v>
      </c>
      <c r="D558" s="4">
        <v>97</v>
      </c>
      <c r="E558" s="4">
        <v>291.97000000000003</v>
      </c>
      <c r="F558" s="5">
        <f t="shared" si="8"/>
        <v>3.0100000000000002</v>
      </c>
    </row>
    <row r="559" spans="1:6" x14ac:dyDescent="0.25">
      <c r="B559" s="4" t="s">
        <v>1115</v>
      </c>
      <c r="C559" s="4" t="s">
        <v>1116</v>
      </c>
      <c r="D559" s="4">
        <v>53</v>
      </c>
      <c r="E559" s="4">
        <v>159</v>
      </c>
      <c r="F559" s="5">
        <f t="shared" si="8"/>
        <v>3</v>
      </c>
    </row>
    <row r="560" spans="1:6" x14ac:dyDescent="0.25">
      <c r="B560" s="4" t="s">
        <v>1117</v>
      </c>
      <c r="C560" s="4" t="s">
        <v>1118</v>
      </c>
      <c r="D560" s="4">
        <v>29</v>
      </c>
      <c r="E560" s="4">
        <v>87</v>
      </c>
      <c r="F560" s="5">
        <f t="shared" si="8"/>
        <v>3</v>
      </c>
    </row>
    <row r="561" spans="1:7" x14ac:dyDescent="0.25">
      <c r="B561" s="4" t="s">
        <v>1119</v>
      </c>
      <c r="C561" s="4" t="s">
        <v>1120</v>
      </c>
      <c r="D561" s="4">
        <v>15.2</v>
      </c>
      <c r="E561" s="4">
        <v>44.92</v>
      </c>
      <c r="F561" s="5">
        <f t="shared" si="8"/>
        <v>2.9552631578947373</v>
      </c>
    </row>
    <row r="562" spans="1:7" x14ac:dyDescent="0.25">
      <c r="B562" s="4" t="s">
        <v>1121</v>
      </c>
      <c r="C562" s="4" t="s">
        <v>1122</v>
      </c>
      <c r="D562" s="4">
        <v>97</v>
      </c>
      <c r="E562" s="4">
        <v>286.14999999999998</v>
      </c>
      <c r="F562" s="5">
        <f t="shared" si="8"/>
        <v>2.9499999999999997</v>
      </c>
    </row>
    <row r="563" spans="1:7" x14ac:dyDescent="0.25">
      <c r="A563">
        <v>115</v>
      </c>
      <c r="B563" s="4" t="s">
        <v>1123</v>
      </c>
      <c r="C563" s="4" t="s">
        <v>1124</v>
      </c>
      <c r="D563" s="4">
        <v>57</v>
      </c>
      <c r="E563" s="4">
        <v>166.67</v>
      </c>
      <c r="F563" s="5">
        <f t="shared" si="8"/>
        <v>2.924035087719298</v>
      </c>
    </row>
    <row r="564" spans="1:7" x14ac:dyDescent="0.25">
      <c r="B564" s="4" t="s">
        <v>1125</v>
      </c>
      <c r="C564" s="4" t="s">
        <v>1126</v>
      </c>
      <c r="D564" s="4">
        <v>47</v>
      </c>
      <c r="E564" s="7">
        <v>137.29</v>
      </c>
      <c r="F564" s="5">
        <f t="shared" si="8"/>
        <v>2.9210638297872338</v>
      </c>
    </row>
    <row r="565" spans="1:7" x14ac:dyDescent="0.25">
      <c r="A565">
        <v>428</v>
      </c>
      <c r="B565" s="4" t="s">
        <v>1127</v>
      </c>
      <c r="C565" s="4" t="s">
        <v>1128</v>
      </c>
      <c r="D565" s="7">
        <v>86</v>
      </c>
      <c r="E565" s="4">
        <v>251.02</v>
      </c>
      <c r="F565" s="5">
        <f t="shared" si="8"/>
        <v>2.9188372093023256</v>
      </c>
    </row>
    <row r="566" spans="1:7" x14ac:dyDescent="0.25">
      <c r="A566">
        <v>517</v>
      </c>
      <c r="B566" s="4" t="s">
        <v>1129</v>
      </c>
      <c r="C566" s="4" t="s">
        <v>1130</v>
      </c>
      <c r="D566" s="7">
        <v>110</v>
      </c>
      <c r="E566" s="4">
        <v>312.29000000000002</v>
      </c>
      <c r="F566" s="5">
        <f t="shared" si="8"/>
        <v>2.839</v>
      </c>
    </row>
    <row r="567" spans="1:7" x14ac:dyDescent="0.25">
      <c r="B567" s="4" t="s">
        <v>1131</v>
      </c>
      <c r="C567" s="4" t="s">
        <v>1132</v>
      </c>
      <c r="D567" s="4">
        <v>8</v>
      </c>
      <c r="E567" s="4">
        <v>22.64</v>
      </c>
      <c r="F567" s="5">
        <f t="shared" si="8"/>
        <v>2.83</v>
      </c>
    </row>
    <row r="568" spans="1:7" x14ac:dyDescent="0.25">
      <c r="A568">
        <v>308</v>
      </c>
      <c r="B568" s="4" t="s">
        <v>1133</v>
      </c>
      <c r="C568" s="4" t="s">
        <v>1134</v>
      </c>
      <c r="D568" s="7">
        <v>14</v>
      </c>
      <c r="E568" s="4">
        <v>39.380000000000003</v>
      </c>
      <c r="F568" s="5">
        <f t="shared" si="8"/>
        <v>2.8128571428571432</v>
      </c>
    </row>
    <row r="569" spans="1:7" x14ac:dyDescent="0.25">
      <c r="B569" s="4" t="s">
        <v>1135</v>
      </c>
      <c r="C569" s="4" t="s">
        <v>1136</v>
      </c>
      <c r="D569" s="4">
        <v>95.31</v>
      </c>
      <c r="E569" s="4">
        <v>266.87</v>
      </c>
      <c r="F569" s="5">
        <f t="shared" si="8"/>
        <v>2.8000209841569617</v>
      </c>
    </row>
    <row r="570" spans="1:7" x14ac:dyDescent="0.25">
      <c r="B570" s="4" t="s">
        <v>1137</v>
      </c>
      <c r="C570" s="4" t="s">
        <v>1138</v>
      </c>
      <c r="D570" s="4">
        <v>13</v>
      </c>
      <c r="E570" s="4">
        <v>36.4</v>
      </c>
      <c r="F570" s="5">
        <f t="shared" si="8"/>
        <v>2.8</v>
      </c>
    </row>
    <row r="571" spans="1:7" x14ac:dyDescent="0.25">
      <c r="A571">
        <v>188</v>
      </c>
      <c r="B571" s="4" t="s">
        <v>1139</v>
      </c>
      <c r="C571" s="4" t="s">
        <v>1140</v>
      </c>
      <c r="D571" s="4">
        <v>63</v>
      </c>
      <c r="E571" s="4">
        <v>173.88</v>
      </c>
      <c r="F571" s="5">
        <f t="shared" si="8"/>
        <v>2.76</v>
      </c>
    </row>
    <row r="572" spans="1:7" x14ac:dyDescent="0.25">
      <c r="B572" s="4" t="s">
        <v>1141</v>
      </c>
      <c r="C572" s="4" t="s">
        <v>1142</v>
      </c>
      <c r="D572" s="4">
        <v>38</v>
      </c>
      <c r="E572" s="4">
        <v>104.88</v>
      </c>
      <c r="F572" s="5">
        <f t="shared" si="8"/>
        <v>2.76</v>
      </c>
    </row>
    <row r="573" spans="1:7" x14ac:dyDescent="0.25">
      <c r="B573" s="4" t="s">
        <v>1143</v>
      </c>
      <c r="C573" s="4" t="s">
        <v>1144</v>
      </c>
      <c r="D573" s="4">
        <v>215.6</v>
      </c>
      <c r="E573" s="4">
        <v>594.41999999999996</v>
      </c>
      <c r="F573" s="5">
        <f t="shared" si="8"/>
        <v>2.7570500927643784</v>
      </c>
    </row>
    <row r="574" spans="1:7" x14ac:dyDescent="0.25">
      <c r="A574">
        <v>146</v>
      </c>
      <c r="B574" s="4" t="s">
        <v>1145</v>
      </c>
      <c r="C574" s="4" t="s">
        <v>1146</v>
      </c>
      <c r="D574" s="4">
        <v>57</v>
      </c>
      <c r="E574" s="4">
        <v>156.86000000000001</v>
      </c>
      <c r="F574" s="5">
        <f t="shared" si="8"/>
        <v>2.7519298245614037</v>
      </c>
      <c r="G574" t="str">
        <f>+VLOOKUP(B574,'[1]Hoja 1'!$B:$H,7,0)</f>
        <v>NOROESTE/BMA</v>
      </c>
    </row>
    <row r="575" spans="1:7" x14ac:dyDescent="0.25">
      <c r="A575">
        <v>254</v>
      </c>
      <c r="B575" s="4" t="s">
        <v>1147</v>
      </c>
      <c r="C575" s="4" t="s">
        <v>1148</v>
      </c>
      <c r="D575" s="4">
        <v>73</v>
      </c>
      <c r="E575" s="4">
        <v>199.8</v>
      </c>
      <c r="F575" s="5">
        <f t="shared" si="8"/>
        <v>2.7369863013698632</v>
      </c>
    </row>
    <row r="576" spans="1:7" x14ac:dyDescent="0.25">
      <c r="B576" s="4" t="s">
        <v>1149</v>
      </c>
      <c r="C576" s="4" t="s">
        <v>1150</v>
      </c>
      <c r="D576" s="7">
        <v>159</v>
      </c>
      <c r="E576" s="4">
        <v>430.26</v>
      </c>
      <c r="F576" s="5">
        <f t="shared" si="8"/>
        <v>2.7060377358490566</v>
      </c>
    </row>
    <row r="577" spans="1:7" x14ac:dyDescent="0.25">
      <c r="A577">
        <v>400</v>
      </c>
      <c r="B577" s="4" t="s">
        <v>1151</v>
      </c>
      <c r="C577" s="4" t="s">
        <v>1152</v>
      </c>
      <c r="D577" s="4">
        <v>127</v>
      </c>
      <c r="E577" s="4">
        <v>342.9</v>
      </c>
      <c r="F577" s="5">
        <f t="shared" si="8"/>
        <v>2.6999999999999997</v>
      </c>
    </row>
    <row r="578" spans="1:7" x14ac:dyDescent="0.25">
      <c r="B578" s="4" t="s">
        <v>1153</v>
      </c>
      <c r="C578" s="4" t="s">
        <v>1154</v>
      </c>
      <c r="D578" s="4">
        <v>681</v>
      </c>
      <c r="E578" s="4">
        <v>1832.8</v>
      </c>
      <c r="F578" s="5">
        <f t="shared" ref="F578:F641" si="9">+IFERROR(E578/D578,0)</f>
        <v>2.6913362701908956</v>
      </c>
    </row>
    <row r="579" spans="1:7" x14ac:dyDescent="0.25">
      <c r="B579" s="4" t="s">
        <v>1155</v>
      </c>
      <c r="C579" s="4" t="s">
        <v>1156</v>
      </c>
      <c r="D579" s="4">
        <v>11</v>
      </c>
      <c r="E579" s="4">
        <v>29.33</v>
      </c>
      <c r="F579" s="5">
        <f t="shared" si="9"/>
        <v>2.666363636363636</v>
      </c>
    </row>
    <row r="580" spans="1:7" x14ac:dyDescent="0.25">
      <c r="A580">
        <v>568</v>
      </c>
      <c r="B580" s="4" t="s">
        <v>1157</v>
      </c>
      <c r="C580" s="4" t="s">
        <v>1158</v>
      </c>
      <c r="D580" s="4">
        <v>110</v>
      </c>
      <c r="E580" s="4">
        <v>291.61</v>
      </c>
      <c r="F580" s="5">
        <f t="shared" si="9"/>
        <v>2.6510000000000002</v>
      </c>
      <c r="G580" t="e">
        <f>+VLOOKUP(B580,'[1]Hoja 1'!$B:$H,7,0)</f>
        <v>#N/A</v>
      </c>
    </row>
    <row r="581" spans="1:7" x14ac:dyDescent="0.25">
      <c r="B581" s="4" t="s">
        <v>1159</v>
      </c>
      <c r="C581" s="4" t="s">
        <v>1160</v>
      </c>
      <c r="D581" s="4">
        <v>95</v>
      </c>
      <c r="E581" s="4">
        <v>251.75</v>
      </c>
      <c r="F581" s="5">
        <f t="shared" si="9"/>
        <v>2.65</v>
      </c>
    </row>
    <row r="582" spans="1:7" x14ac:dyDescent="0.25">
      <c r="A582">
        <v>571</v>
      </c>
      <c r="B582" s="4" t="s">
        <v>1161</v>
      </c>
      <c r="C582" s="4" t="s">
        <v>1162</v>
      </c>
      <c r="D582" s="4">
        <v>65</v>
      </c>
      <c r="E582" s="7">
        <v>171.97</v>
      </c>
      <c r="F582" s="5">
        <f t="shared" si="9"/>
        <v>2.6456923076923076</v>
      </c>
    </row>
    <row r="583" spans="1:7" x14ac:dyDescent="0.25">
      <c r="B583" s="4" t="s">
        <v>1163</v>
      </c>
      <c r="C583" s="4" t="s">
        <v>1164</v>
      </c>
      <c r="D583" s="4">
        <v>131.54</v>
      </c>
      <c r="E583" s="4">
        <v>347.97</v>
      </c>
      <c r="F583" s="5">
        <f t="shared" si="9"/>
        <v>2.6453550250874263</v>
      </c>
    </row>
    <row r="584" spans="1:7" x14ac:dyDescent="0.25">
      <c r="A584">
        <v>202</v>
      </c>
      <c r="B584" s="4" t="s">
        <v>1165</v>
      </c>
      <c r="C584" s="4" t="s">
        <v>1166</v>
      </c>
      <c r="D584" s="4">
        <v>19</v>
      </c>
      <c r="E584" s="4">
        <v>49.97</v>
      </c>
      <c r="F584" s="5">
        <f t="shared" si="9"/>
        <v>2.63</v>
      </c>
    </row>
    <row r="585" spans="1:7" x14ac:dyDescent="0.25">
      <c r="B585" s="4" t="s">
        <v>1167</v>
      </c>
      <c r="C585" s="4" t="s">
        <v>1168</v>
      </c>
      <c r="D585" s="4">
        <v>135</v>
      </c>
      <c r="E585" s="4">
        <v>352.75</v>
      </c>
      <c r="F585" s="5">
        <f t="shared" si="9"/>
        <v>2.6129629629629632</v>
      </c>
    </row>
    <row r="586" spans="1:7" x14ac:dyDescent="0.25">
      <c r="A586">
        <v>570</v>
      </c>
      <c r="B586" s="4" t="s">
        <v>1169</v>
      </c>
      <c r="C586" s="4" t="s">
        <v>1170</v>
      </c>
      <c r="D586" s="4">
        <v>653</v>
      </c>
      <c r="E586" s="4">
        <v>1697.8</v>
      </c>
      <c r="F586" s="5">
        <f t="shared" si="9"/>
        <v>2.6</v>
      </c>
      <c r="G586" t="e">
        <f>+VLOOKUP(B586,'[1]Hoja 1'!$B:$H,7,0)</f>
        <v>#N/A</v>
      </c>
    </row>
    <row r="587" spans="1:7" x14ac:dyDescent="0.25">
      <c r="B587" s="4" t="s">
        <v>1171</v>
      </c>
      <c r="C587" s="4" t="s">
        <v>1172</v>
      </c>
      <c r="D587" s="4">
        <v>408</v>
      </c>
      <c r="E587" s="4">
        <v>1060.8</v>
      </c>
      <c r="F587" s="5">
        <f t="shared" si="9"/>
        <v>2.6</v>
      </c>
    </row>
    <row r="588" spans="1:7" x14ac:dyDescent="0.25">
      <c r="B588" s="4" t="s">
        <v>1173</v>
      </c>
      <c r="C588" s="4" t="s">
        <v>1174</v>
      </c>
      <c r="D588" s="4">
        <v>114</v>
      </c>
      <c r="E588" s="4">
        <v>288.02</v>
      </c>
      <c r="F588" s="5">
        <f t="shared" si="9"/>
        <v>2.5264912280701752</v>
      </c>
    </row>
    <row r="589" spans="1:7" x14ac:dyDescent="0.25">
      <c r="A589">
        <v>512</v>
      </c>
      <c r="B589" s="4" t="s">
        <v>1175</v>
      </c>
      <c r="C589" s="4" t="s">
        <v>1176</v>
      </c>
      <c r="D589" s="4">
        <v>332</v>
      </c>
      <c r="E589" s="4">
        <v>830.9</v>
      </c>
      <c r="F589" s="5">
        <f t="shared" si="9"/>
        <v>2.5027108433734937</v>
      </c>
    </row>
    <row r="590" spans="1:7" x14ac:dyDescent="0.25">
      <c r="B590" s="4" t="s">
        <v>1177</v>
      </c>
      <c r="C590" s="4" t="s">
        <v>1178</v>
      </c>
      <c r="D590" s="4">
        <v>24</v>
      </c>
      <c r="E590" s="4">
        <v>60</v>
      </c>
      <c r="F590" s="5">
        <f t="shared" si="9"/>
        <v>2.5</v>
      </c>
    </row>
    <row r="591" spans="1:7" x14ac:dyDescent="0.25">
      <c r="B591" s="4" t="s">
        <v>1179</v>
      </c>
      <c r="C591" s="4" t="s">
        <v>1180</v>
      </c>
      <c r="D591" s="4">
        <v>2</v>
      </c>
      <c r="E591" s="4">
        <v>5</v>
      </c>
      <c r="F591" s="5">
        <f t="shared" si="9"/>
        <v>2.5</v>
      </c>
    </row>
    <row r="592" spans="1:7" x14ac:dyDescent="0.25">
      <c r="B592" s="4" t="s">
        <v>1181</v>
      </c>
      <c r="C592" s="4" t="s">
        <v>1182</v>
      </c>
      <c r="D592" s="4">
        <v>115</v>
      </c>
      <c r="E592" s="4">
        <v>285.04000000000002</v>
      </c>
      <c r="F592" s="5">
        <f t="shared" si="9"/>
        <v>2.478608695652174</v>
      </c>
    </row>
    <row r="593" spans="1:7" x14ac:dyDescent="0.25">
      <c r="B593" s="4" t="s">
        <v>1183</v>
      </c>
      <c r="C593" s="4" t="s">
        <v>1184</v>
      </c>
      <c r="D593" s="4">
        <v>71.010000000000005</v>
      </c>
      <c r="E593" s="4">
        <v>175.52</v>
      </c>
      <c r="F593" s="5">
        <f t="shared" si="9"/>
        <v>2.471764540205605</v>
      </c>
    </row>
    <row r="594" spans="1:7" x14ac:dyDescent="0.25">
      <c r="B594" s="4" t="s">
        <v>1185</v>
      </c>
      <c r="C594" s="4" t="s">
        <v>1186</v>
      </c>
      <c r="D594" s="4">
        <v>25</v>
      </c>
      <c r="E594" s="4">
        <v>61.58</v>
      </c>
      <c r="F594" s="5">
        <f t="shared" si="9"/>
        <v>2.4632000000000001</v>
      </c>
    </row>
    <row r="595" spans="1:7" x14ac:dyDescent="0.25">
      <c r="A595">
        <v>464</v>
      </c>
      <c r="B595" s="4" t="s">
        <v>1187</v>
      </c>
      <c r="C595" s="4" t="s">
        <v>1188</v>
      </c>
      <c r="D595" s="4">
        <v>4</v>
      </c>
      <c r="E595" s="4">
        <v>9.73</v>
      </c>
      <c r="F595" s="5">
        <f t="shared" si="9"/>
        <v>2.4325000000000001</v>
      </c>
    </row>
    <row r="596" spans="1:7" x14ac:dyDescent="0.25">
      <c r="B596" s="4" t="s">
        <v>1189</v>
      </c>
      <c r="C596" s="4" t="s">
        <v>1190</v>
      </c>
      <c r="D596" s="4">
        <v>318</v>
      </c>
      <c r="E596" s="4">
        <v>762.37</v>
      </c>
      <c r="F596" s="5">
        <f t="shared" si="9"/>
        <v>2.3973899371069183</v>
      </c>
    </row>
    <row r="597" spans="1:7" x14ac:dyDescent="0.25">
      <c r="B597" s="4" t="s">
        <v>1191</v>
      </c>
      <c r="C597" s="4" t="s">
        <v>1192</v>
      </c>
      <c r="D597" s="4">
        <v>768</v>
      </c>
      <c r="E597" s="4">
        <v>1794.05</v>
      </c>
      <c r="F597" s="5">
        <f t="shared" si="9"/>
        <v>2.3360026041666666</v>
      </c>
    </row>
    <row r="598" spans="1:7" x14ac:dyDescent="0.25">
      <c r="B598" s="4" t="s">
        <v>1193</v>
      </c>
      <c r="C598" s="4" t="s">
        <v>1194</v>
      </c>
      <c r="D598" s="4">
        <v>13</v>
      </c>
      <c r="E598" s="4">
        <v>30.03</v>
      </c>
      <c r="F598" s="5">
        <f t="shared" si="9"/>
        <v>2.31</v>
      </c>
    </row>
    <row r="599" spans="1:7" x14ac:dyDescent="0.25">
      <c r="A599">
        <v>425</v>
      </c>
      <c r="B599" s="4" t="s">
        <v>1195</v>
      </c>
      <c r="C599" s="4" t="s">
        <v>1196</v>
      </c>
      <c r="D599" s="4">
        <v>85</v>
      </c>
      <c r="E599" s="4">
        <v>192.95</v>
      </c>
      <c r="F599" s="5">
        <f t="shared" si="9"/>
        <v>2.27</v>
      </c>
      <c r="G599" t="e">
        <f>+VLOOKUP(B599,'[1]Hoja 1'!$B:$H,7,0)</f>
        <v>#N/A</v>
      </c>
    </row>
    <row r="600" spans="1:7" x14ac:dyDescent="0.25">
      <c r="A600">
        <v>160</v>
      </c>
      <c r="B600" s="4" t="s">
        <v>1197</v>
      </c>
      <c r="C600" s="4" t="s">
        <v>1198</v>
      </c>
      <c r="D600" s="4">
        <v>139</v>
      </c>
      <c r="E600" s="4">
        <v>310.17</v>
      </c>
      <c r="F600" s="5">
        <f t="shared" si="9"/>
        <v>2.2314388489208636</v>
      </c>
    </row>
    <row r="601" spans="1:7" x14ac:dyDescent="0.25">
      <c r="A601">
        <v>394</v>
      </c>
      <c r="B601" s="4" t="s">
        <v>1199</v>
      </c>
      <c r="C601" s="4" t="s">
        <v>1200</v>
      </c>
      <c r="D601" s="4">
        <v>29</v>
      </c>
      <c r="E601" s="7">
        <v>64.38</v>
      </c>
      <c r="F601" s="5">
        <f t="shared" si="9"/>
        <v>2.2199999999999998</v>
      </c>
      <c r="G601" t="e">
        <f>+VLOOKUP(B601,'[1]Hoja 1'!$B:$H,7,0)</f>
        <v>#N/A</v>
      </c>
    </row>
    <row r="602" spans="1:7" x14ac:dyDescent="0.25">
      <c r="B602" s="4" t="s">
        <v>1201</v>
      </c>
      <c r="C602" s="4" t="s">
        <v>1202</v>
      </c>
      <c r="D602" s="4">
        <v>233</v>
      </c>
      <c r="E602" s="7">
        <v>516.1</v>
      </c>
      <c r="F602" s="5">
        <f t="shared" si="9"/>
        <v>2.2150214592274677</v>
      </c>
      <c r="G602" t="e">
        <f>+VLOOKUP(B602,'[1]Hoja 1'!$B:$H,7,0)</f>
        <v>#N/A</v>
      </c>
    </row>
    <row r="603" spans="1:7" x14ac:dyDescent="0.25">
      <c r="A603">
        <v>505</v>
      </c>
      <c r="B603" s="4" t="s">
        <v>1203</v>
      </c>
      <c r="C603" s="4" t="s">
        <v>1204</v>
      </c>
      <c r="D603" s="4">
        <v>305</v>
      </c>
      <c r="E603" s="4">
        <v>673.24</v>
      </c>
      <c r="F603" s="5">
        <f t="shared" si="9"/>
        <v>2.2073442622950821</v>
      </c>
    </row>
    <row r="604" spans="1:7" x14ac:dyDescent="0.25">
      <c r="A604">
        <v>116</v>
      </c>
      <c r="B604" s="4" t="s">
        <v>1205</v>
      </c>
      <c r="C604" s="4" t="s">
        <v>1206</v>
      </c>
      <c r="D604" s="4">
        <v>15</v>
      </c>
      <c r="E604" s="7">
        <v>33</v>
      </c>
      <c r="F604" s="5">
        <f t="shared" si="9"/>
        <v>2.2000000000000002</v>
      </c>
    </row>
    <row r="605" spans="1:7" x14ac:dyDescent="0.25">
      <c r="B605" s="4" t="s">
        <v>1207</v>
      </c>
      <c r="C605" s="4" t="s">
        <v>1208</v>
      </c>
      <c r="D605" s="4">
        <v>450.24</v>
      </c>
      <c r="E605" s="4">
        <v>986.03</v>
      </c>
      <c r="F605" s="5">
        <f t="shared" si="9"/>
        <v>2.1900097725657428</v>
      </c>
    </row>
    <row r="606" spans="1:7" x14ac:dyDescent="0.25">
      <c r="B606" s="4" t="s">
        <v>1209</v>
      </c>
      <c r="C606" s="4" t="s">
        <v>1210</v>
      </c>
      <c r="D606" s="4">
        <v>168.25</v>
      </c>
      <c r="E606" s="4">
        <v>364.26</v>
      </c>
      <c r="F606" s="5">
        <f t="shared" si="9"/>
        <v>2.1649925705794946</v>
      </c>
    </row>
    <row r="607" spans="1:7" x14ac:dyDescent="0.25">
      <c r="B607" s="4" t="s">
        <v>1211</v>
      </c>
      <c r="C607" s="4" t="s">
        <v>1212</v>
      </c>
      <c r="D607" s="4">
        <v>101</v>
      </c>
      <c r="E607" s="7">
        <v>217.25</v>
      </c>
      <c r="F607" s="5">
        <f t="shared" si="9"/>
        <v>2.1509900990099009</v>
      </c>
      <c r="G607" t="e">
        <f>+VLOOKUP(B607,'[1]Hoja 1'!$B:$H,7,0)</f>
        <v>#N/A</v>
      </c>
    </row>
    <row r="608" spans="1:7" x14ac:dyDescent="0.25">
      <c r="B608" s="4" t="s">
        <v>1213</v>
      </c>
      <c r="C608" s="4" t="s">
        <v>1214</v>
      </c>
      <c r="D608" s="4">
        <v>421</v>
      </c>
      <c r="E608" s="4">
        <v>905.36</v>
      </c>
      <c r="F608" s="5">
        <f t="shared" si="9"/>
        <v>2.1504988123515441</v>
      </c>
    </row>
    <row r="609" spans="1:6" x14ac:dyDescent="0.25">
      <c r="B609" s="4" t="s">
        <v>1215</v>
      </c>
      <c r="C609" s="4" t="s">
        <v>1216</v>
      </c>
      <c r="D609" s="4">
        <v>20</v>
      </c>
      <c r="E609" s="4">
        <v>43</v>
      </c>
      <c r="F609" s="5">
        <f t="shared" si="9"/>
        <v>2.15</v>
      </c>
    </row>
    <row r="610" spans="1:6" x14ac:dyDescent="0.25">
      <c r="B610" s="4" t="s">
        <v>1217</v>
      </c>
      <c r="C610" s="4" t="s">
        <v>1218</v>
      </c>
      <c r="D610" s="4">
        <v>118</v>
      </c>
      <c r="E610" s="7">
        <v>253.47</v>
      </c>
      <c r="F610" s="5">
        <f t="shared" si="9"/>
        <v>2.1480508474576272</v>
      </c>
    </row>
    <row r="611" spans="1:6" x14ac:dyDescent="0.25">
      <c r="B611" s="4" t="s">
        <v>1219</v>
      </c>
      <c r="C611" s="4" t="s">
        <v>1220</v>
      </c>
      <c r="D611" s="4">
        <v>25</v>
      </c>
      <c r="E611" s="4">
        <v>53.22</v>
      </c>
      <c r="F611" s="5">
        <f t="shared" si="9"/>
        <v>2.1288</v>
      </c>
    </row>
    <row r="612" spans="1:6" x14ac:dyDescent="0.25">
      <c r="B612" s="4" t="s">
        <v>1221</v>
      </c>
      <c r="C612" s="4" t="s">
        <v>1222</v>
      </c>
      <c r="D612" s="4">
        <v>824</v>
      </c>
      <c r="E612" s="7">
        <v>1739.24</v>
      </c>
      <c r="F612" s="5">
        <f t="shared" si="9"/>
        <v>2.1107281553398058</v>
      </c>
    </row>
    <row r="613" spans="1:6" x14ac:dyDescent="0.25">
      <c r="A613">
        <v>258</v>
      </c>
      <c r="B613" s="4" t="s">
        <v>1223</v>
      </c>
      <c r="C613" s="4" t="s">
        <v>1224</v>
      </c>
      <c r="D613" s="7">
        <v>175</v>
      </c>
      <c r="E613" s="4">
        <v>367.87</v>
      </c>
      <c r="F613" s="5">
        <f t="shared" si="9"/>
        <v>2.1021142857142858</v>
      </c>
    </row>
    <row r="614" spans="1:6" x14ac:dyDescent="0.25">
      <c r="B614" s="4" t="s">
        <v>1225</v>
      </c>
      <c r="C614" s="4" t="s">
        <v>1226</v>
      </c>
      <c r="D614" s="7">
        <v>1117</v>
      </c>
      <c r="E614" s="4">
        <v>2345.6999999999998</v>
      </c>
      <c r="F614" s="5">
        <f t="shared" si="9"/>
        <v>2.0999999999999996</v>
      </c>
    </row>
    <row r="615" spans="1:6" x14ac:dyDescent="0.25">
      <c r="B615" s="4" t="s">
        <v>1227</v>
      </c>
      <c r="C615" s="4" t="s">
        <v>1228</v>
      </c>
      <c r="D615" s="4">
        <v>95</v>
      </c>
      <c r="E615" s="4">
        <v>196.08</v>
      </c>
      <c r="F615" s="5">
        <f t="shared" si="9"/>
        <v>2.0640000000000001</v>
      </c>
    </row>
    <row r="616" spans="1:6" x14ac:dyDescent="0.25">
      <c r="A616">
        <v>190</v>
      </c>
      <c r="B616" s="4" t="s">
        <v>1229</v>
      </c>
      <c r="C616" s="4" t="s">
        <v>1230</v>
      </c>
      <c r="D616" s="4">
        <v>342</v>
      </c>
      <c r="E616" s="4">
        <v>697.68</v>
      </c>
      <c r="F616" s="5">
        <f t="shared" si="9"/>
        <v>2.04</v>
      </c>
    </row>
    <row r="617" spans="1:6" x14ac:dyDescent="0.25">
      <c r="A617">
        <v>363</v>
      </c>
      <c r="B617" s="4" t="s">
        <v>1231</v>
      </c>
      <c r="C617" s="4" t="s">
        <v>1232</v>
      </c>
      <c r="D617" s="4">
        <v>203</v>
      </c>
      <c r="E617" s="7">
        <v>406</v>
      </c>
      <c r="F617" s="5">
        <f t="shared" si="9"/>
        <v>2</v>
      </c>
    </row>
    <row r="618" spans="1:6" x14ac:dyDescent="0.25">
      <c r="B618" s="4" t="s">
        <v>1233</v>
      </c>
      <c r="C618" s="4" t="s">
        <v>1234</v>
      </c>
      <c r="D618" s="4">
        <v>174</v>
      </c>
      <c r="E618" s="7">
        <v>348</v>
      </c>
      <c r="F618" s="5">
        <f t="shared" si="9"/>
        <v>2</v>
      </c>
    </row>
    <row r="619" spans="1:6" x14ac:dyDescent="0.25">
      <c r="A619">
        <v>290</v>
      </c>
      <c r="B619" s="4" t="s">
        <v>1235</v>
      </c>
      <c r="C619" s="4" t="s">
        <v>1236</v>
      </c>
      <c r="D619" s="4">
        <v>156</v>
      </c>
      <c r="E619" s="7">
        <v>312</v>
      </c>
      <c r="F619" s="5">
        <f t="shared" si="9"/>
        <v>2</v>
      </c>
    </row>
    <row r="620" spans="1:6" x14ac:dyDescent="0.25">
      <c r="A620">
        <v>94</v>
      </c>
      <c r="B620" s="4" t="s">
        <v>1237</v>
      </c>
      <c r="C620" s="4" t="s">
        <v>1238</v>
      </c>
      <c r="D620" s="4">
        <v>151</v>
      </c>
      <c r="E620" s="7">
        <v>302</v>
      </c>
      <c r="F620" s="5">
        <f t="shared" si="9"/>
        <v>2</v>
      </c>
    </row>
    <row r="621" spans="1:6" x14ac:dyDescent="0.25">
      <c r="B621" s="4" t="s">
        <v>1239</v>
      </c>
      <c r="C621" s="4" t="s">
        <v>1240</v>
      </c>
      <c r="D621" s="4">
        <v>141</v>
      </c>
      <c r="E621" s="7">
        <v>282</v>
      </c>
      <c r="F621" s="5">
        <f t="shared" si="9"/>
        <v>2</v>
      </c>
    </row>
    <row r="622" spans="1:6" x14ac:dyDescent="0.25">
      <c r="B622" s="4" t="s">
        <v>1241</v>
      </c>
      <c r="C622" s="4" t="s">
        <v>1242</v>
      </c>
      <c r="D622" s="4">
        <v>104</v>
      </c>
      <c r="E622" s="7">
        <v>208</v>
      </c>
      <c r="F622" s="5">
        <f t="shared" si="9"/>
        <v>2</v>
      </c>
    </row>
    <row r="623" spans="1:6" x14ac:dyDescent="0.25">
      <c r="A623">
        <v>370</v>
      </c>
      <c r="B623" s="4" t="s">
        <v>1243</v>
      </c>
      <c r="C623" s="4" t="s">
        <v>1244</v>
      </c>
      <c r="D623" s="4">
        <v>102</v>
      </c>
      <c r="E623" s="4">
        <v>204</v>
      </c>
      <c r="F623" s="5">
        <f t="shared" si="9"/>
        <v>2</v>
      </c>
    </row>
    <row r="624" spans="1:6" x14ac:dyDescent="0.25">
      <c r="A624">
        <v>132</v>
      </c>
      <c r="B624" s="4" t="s">
        <v>1245</v>
      </c>
      <c r="C624" s="4" t="s">
        <v>1246</v>
      </c>
      <c r="D624" s="4">
        <v>90</v>
      </c>
      <c r="E624" s="7">
        <v>180</v>
      </c>
      <c r="F624" s="5">
        <f t="shared" si="9"/>
        <v>2</v>
      </c>
    </row>
    <row r="625" spans="1:7" x14ac:dyDescent="0.25">
      <c r="A625">
        <v>133</v>
      </c>
      <c r="B625" s="4" t="s">
        <v>1247</v>
      </c>
      <c r="C625" s="4" t="s">
        <v>1248</v>
      </c>
      <c r="D625" s="4">
        <v>17</v>
      </c>
      <c r="E625" s="4">
        <v>34</v>
      </c>
      <c r="F625" s="5">
        <f t="shared" si="9"/>
        <v>2</v>
      </c>
    </row>
    <row r="626" spans="1:7" x14ac:dyDescent="0.25">
      <c r="A626">
        <v>207</v>
      </c>
      <c r="B626" s="4" t="s">
        <v>1249</v>
      </c>
      <c r="C626" s="4" t="s">
        <v>1250</v>
      </c>
      <c r="D626" s="4">
        <v>55</v>
      </c>
      <c r="E626" s="4">
        <v>109.71</v>
      </c>
      <c r="F626" s="5">
        <f t="shared" si="9"/>
        <v>1.9947272727272727</v>
      </c>
    </row>
    <row r="627" spans="1:7" x14ac:dyDescent="0.25">
      <c r="B627" s="4" t="s">
        <v>1251</v>
      </c>
      <c r="C627" s="4" t="s">
        <v>1252</v>
      </c>
      <c r="D627" s="4">
        <v>157</v>
      </c>
      <c r="E627" s="4">
        <v>312.43</v>
      </c>
      <c r="F627" s="5">
        <f t="shared" si="9"/>
        <v>1.99</v>
      </c>
    </row>
    <row r="628" spans="1:7" x14ac:dyDescent="0.25">
      <c r="B628" s="4" t="s">
        <v>1253</v>
      </c>
      <c r="C628" s="4" t="s">
        <v>1254</v>
      </c>
      <c r="D628" s="4">
        <v>57</v>
      </c>
      <c r="E628" s="4">
        <v>112.75</v>
      </c>
      <c r="F628" s="5">
        <f t="shared" si="9"/>
        <v>1.9780701754385965</v>
      </c>
    </row>
    <row r="629" spans="1:7" x14ac:dyDescent="0.25">
      <c r="B629" s="4" t="s">
        <v>1255</v>
      </c>
      <c r="C629" s="4" t="s">
        <v>1256</v>
      </c>
      <c r="D629" s="4">
        <v>155</v>
      </c>
      <c r="E629" s="7">
        <v>303.8</v>
      </c>
      <c r="F629" s="5">
        <f t="shared" si="9"/>
        <v>1.96</v>
      </c>
    </row>
    <row r="630" spans="1:7" x14ac:dyDescent="0.25">
      <c r="B630" s="4" t="s">
        <v>1257</v>
      </c>
      <c r="C630" s="4" t="s">
        <v>1258</v>
      </c>
      <c r="D630" s="4">
        <v>28</v>
      </c>
      <c r="E630" s="4">
        <v>54.6</v>
      </c>
      <c r="F630" s="5">
        <f t="shared" si="9"/>
        <v>1.95</v>
      </c>
    </row>
    <row r="631" spans="1:7" x14ac:dyDescent="0.25">
      <c r="A631">
        <v>263</v>
      </c>
      <c r="B631" s="4" t="s">
        <v>1259</v>
      </c>
      <c r="C631" s="4" t="s">
        <v>1260</v>
      </c>
      <c r="D631" s="4">
        <v>63</v>
      </c>
      <c r="E631" s="4">
        <v>120.96</v>
      </c>
      <c r="F631" s="5">
        <f t="shared" si="9"/>
        <v>1.92</v>
      </c>
    </row>
    <row r="632" spans="1:7" x14ac:dyDescent="0.25">
      <c r="B632" s="4" t="s">
        <v>1261</v>
      </c>
      <c r="C632" s="4" t="s">
        <v>1262</v>
      </c>
      <c r="D632" s="4">
        <v>334</v>
      </c>
      <c r="E632" s="4">
        <v>634.6</v>
      </c>
      <c r="F632" s="5">
        <f t="shared" si="9"/>
        <v>1.9000000000000001</v>
      </c>
    </row>
    <row r="633" spans="1:7" x14ac:dyDescent="0.25">
      <c r="B633" s="4" t="s">
        <v>1263</v>
      </c>
      <c r="C633" s="4" t="s">
        <v>1264</v>
      </c>
      <c r="D633" s="4">
        <v>20</v>
      </c>
      <c r="E633" s="4">
        <v>37.840000000000003</v>
      </c>
      <c r="F633" s="5">
        <f t="shared" si="9"/>
        <v>1.8920000000000001</v>
      </c>
    </row>
    <row r="634" spans="1:7" x14ac:dyDescent="0.25">
      <c r="A634">
        <v>488</v>
      </c>
      <c r="B634" s="4" t="s">
        <v>1265</v>
      </c>
      <c r="C634" s="4" t="s">
        <v>1266</v>
      </c>
      <c r="D634" s="4">
        <v>20</v>
      </c>
      <c r="E634" s="4">
        <v>37.840000000000003</v>
      </c>
      <c r="F634" s="5">
        <f t="shared" si="9"/>
        <v>1.8920000000000001</v>
      </c>
      <c r="G634" t="e">
        <f>+VLOOKUP(B634,'[1]Hoja 1'!$B:$H,7,0)</f>
        <v>#N/A</v>
      </c>
    </row>
    <row r="635" spans="1:7" x14ac:dyDescent="0.25">
      <c r="B635" s="4" t="s">
        <v>1267</v>
      </c>
      <c r="C635" s="4" t="s">
        <v>1268</v>
      </c>
      <c r="D635" s="4">
        <v>73</v>
      </c>
      <c r="E635" s="4">
        <v>137.80000000000001</v>
      </c>
      <c r="F635" s="5">
        <f t="shared" si="9"/>
        <v>1.8876712328767125</v>
      </c>
    </row>
    <row r="636" spans="1:7" x14ac:dyDescent="0.25">
      <c r="B636" s="4" t="s">
        <v>1269</v>
      </c>
      <c r="C636" s="4" t="s">
        <v>1270</v>
      </c>
      <c r="D636" s="4">
        <v>130</v>
      </c>
      <c r="E636" s="4">
        <v>243.76</v>
      </c>
      <c r="F636" s="5">
        <f t="shared" si="9"/>
        <v>1.8750769230769231</v>
      </c>
    </row>
    <row r="637" spans="1:7" x14ac:dyDescent="0.25">
      <c r="A637">
        <v>418</v>
      </c>
      <c r="B637" s="4" t="s">
        <v>1271</v>
      </c>
      <c r="C637" s="4" t="s">
        <v>1272</v>
      </c>
      <c r="D637" s="4">
        <v>26</v>
      </c>
      <c r="E637" s="4">
        <v>48.39</v>
      </c>
      <c r="F637" s="5">
        <f t="shared" si="9"/>
        <v>1.8611538461538462</v>
      </c>
    </row>
    <row r="638" spans="1:7" x14ac:dyDescent="0.25">
      <c r="B638" s="4" t="s">
        <v>1273</v>
      </c>
      <c r="C638" s="4" t="s">
        <v>1274</v>
      </c>
      <c r="D638" s="4">
        <v>13</v>
      </c>
      <c r="E638" s="4">
        <v>24.18</v>
      </c>
      <c r="F638" s="5">
        <f t="shared" si="9"/>
        <v>1.8599999999999999</v>
      </c>
    </row>
    <row r="639" spans="1:7" x14ac:dyDescent="0.25">
      <c r="A639">
        <v>53</v>
      </c>
      <c r="B639" s="4" t="s">
        <v>1275</v>
      </c>
      <c r="C639" s="4" t="s">
        <v>1276</v>
      </c>
      <c r="D639" s="4">
        <v>261</v>
      </c>
      <c r="E639" s="7">
        <v>482.85</v>
      </c>
      <c r="F639" s="5">
        <f t="shared" si="9"/>
        <v>1.85</v>
      </c>
    </row>
    <row r="640" spans="1:7" x14ac:dyDescent="0.25">
      <c r="B640" s="4" t="s">
        <v>1277</v>
      </c>
      <c r="C640" s="4" t="s">
        <v>1240</v>
      </c>
      <c r="D640" s="4">
        <v>100</v>
      </c>
      <c r="E640" s="7">
        <v>185</v>
      </c>
      <c r="F640" s="5">
        <f t="shared" si="9"/>
        <v>1.85</v>
      </c>
    </row>
    <row r="641" spans="1:6" x14ac:dyDescent="0.25">
      <c r="B641" s="4" t="s">
        <v>1278</v>
      </c>
      <c r="C641" s="4" t="s">
        <v>1279</v>
      </c>
      <c r="D641" s="4">
        <v>99</v>
      </c>
      <c r="E641" s="7">
        <v>183.15</v>
      </c>
      <c r="F641" s="5">
        <f t="shared" si="9"/>
        <v>1.85</v>
      </c>
    </row>
    <row r="642" spans="1:6" x14ac:dyDescent="0.25">
      <c r="A642">
        <v>566</v>
      </c>
      <c r="B642" s="4" t="s">
        <v>1280</v>
      </c>
      <c r="C642" s="4" t="s">
        <v>1281</v>
      </c>
      <c r="D642" s="4">
        <v>179</v>
      </c>
      <c r="E642" s="7">
        <v>331.15</v>
      </c>
      <c r="F642" s="5">
        <f t="shared" ref="F642:F705" si="10">+IFERROR(E642/D642,0)</f>
        <v>1.8499999999999999</v>
      </c>
    </row>
    <row r="643" spans="1:6" x14ac:dyDescent="0.25">
      <c r="B643" s="4" t="s">
        <v>1282</v>
      </c>
      <c r="C643" s="4" t="s">
        <v>1283</v>
      </c>
      <c r="D643" s="4">
        <v>25</v>
      </c>
      <c r="E643" s="4">
        <v>46.19</v>
      </c>
      <c r="F643" s="5">
        <f t="shared" si="10"/>
        <v>1.8475999999999999</v>
      </c>
    </row>
    <row r="644" spans="1:6" x14ac:dyDescent="0.25">
      <c r="B644" s="4" t="s">
        <v>1284</v>
      </c>
      <c r="C644" s="4" t="s">
        <v>1285</v>
      </c>
      <c r="D644" s="4">
        <v>140</v>
      </c>
      <c r="E644" s="4">
        <v>258.56</v>
      </c>
      <c r="F644" s="5">
        <f t="shared" si="10"/>
        <v>1.846857142857143</v>
      </c>
    </row>
    <row r="645" spans="1:6" x14ac:dyDescent="0.25">
      <c r="B645" s="4" t="s">
        <v>1286</v>
      </c>
      <c r="C645" s="4" t="s">
        <v>1287</v>
      </c>
      <c r="D645" s="4">
        <v>107</v>
      </c>
      <c r="E645" s="7">
        <v>197.2</v>
      </c>
      <c r="F645" s="5">
        <f t="shared" si="10"/>
        <v>1.8429906542056074</v>
      </c>
    </row>
    <row r="646" spans="1:6" x14ac:dyDescent="0.25">
      <c r="A646">
        <v>230</v>
      </c>
      <c r="B646" s="4" t="s">
        <v>1288</v>
      </c>
      <c r="C646" s="4" t="s">
        <v>1289</v>
      </c>
      <c r="D646" s="4">
        <v>36</v>
      </c>
      <c r="E646" s="4">
        <v>65.77</v>
      </c>
      <c r="F646" s="5">
        <f t="shared" si="10"/>
        <v>1.8269444444444443</v>
      </c>
    </row>
    <row r="647" spans="1:6" x14ac:dyDescent="0.25">
      <c r="A647">
        <v>318</v>
      </c>
      <c r="B647" s="4" t="s">
        <v>1290</v>
      </c>
      <c r="C647" s="4" t="s">
        <v>1291</v>
      </c>
      <c r="D647" s="4">
        <v>62</v>
      </c>
      <c r="E647" s="4">
        <v>112.22</v>
      </c>
      <c r="F647" s="5">
        <f t="shared" si="10"/>
        <v>1.81</v>
      </c>
    </row>
    <row r="648" spans="1:6" x14ac:dyDescent="0.25">
      <c r="B648" s="4" t="s">
        <v>1292</v>
      </c>
      <c r="C648" s="4" t="s">
        <v>1293</v>
      </c>
      <c r="D648" s="4">
        <v>57</v>
      </c>
      <c r="E648" s="4">
        <v>102.94</v>
      </c>
      <c r="F648" s="5">
        <f t="shared" si="10"/>
        <v>1.8059649122807018</v>
      </c>
    </row>
    <row r="649" spans="1:6" x14ac:dyDescent="0.25">
      <c r="B649" s="4" t="s">
        <v>1294</v>
      </c>
      <c r="C649" s="4" t="s">
        <v>1295</v>
      </c>
      <c r="D649" s="4">
        <v>57</v>
      </c>
      <c r="E649" s="4">
        <v>102.94</v>
      </c>
      <c r="F649" s="5">
        <f t="shared" si="10"/>
        <v>1.8059649122807018</v>
      </c>
    </row>
    <row r="650" spans="1:6" x14ac:dyDescent="0.25">
      <c r="A650">
        <v>289</v>
      </c>
      <c r="B650" s="4" t="s">
        <v>1296</v>
      </c>
      <c r="C650" s="4" t="s">
        <v>1297</v>
      </c>
      <c r="D650" s="4">
        <v>81</v>
      </c>
      <c r="E650" s="4">
        <v>144.75</v>
      </c>
      <c r="F650" s="5">
        <f t="shared" si="10"/>
        <v>1.787037037037037</v>
      </c>
    </row>
    <row r="651" spans="1:6" x14ac:dyDescent="0.25">
      <c r="A651">
        <v>164</v>
      </c>
      <c r="B651" s="4" t="s">
        <v>1298</v>
      </c>
      <c r="C651" s="4" t="s">
        <v>1299</v>
      </c>
      <c r="D651" s="4">
        <v>103</v>
      </c>
      <c r="E651" s="4">
        <v>181.69</v>
      </c>
      <c r="F651" s="5">
        <f t="shared" si="10"/>
        <v>1.7639805825242718</v>
      </c>
    </row>
    <row r="652" spans="1:6" x14ac:dyDescent="0.25">
      <c r="A652">
        <v>49</v>
      </c>
      <c r="B652" s="4" t="s">
        <v>1300</v>
      </c>
      <c r="C652" s="4" t="s">
        <v>1301</v>
      </c>
      <c r="D652" s="4">
        <v>361</v>
      </c>
      <c r="E652" s="4">
        <v>634.47</v>
      </c>
      <c r="F652" s="5">
        <f t="shared" si="10"/>
        <v>1.7575346260387812</v>
      </c>
    </row>
    <row r="653" spans="1:6" x14ac:dyDescent="0.25">
      <c r="A653">
        <v>451</v>
      </c>
      <c r="B653" s="4" t="s">
        <v>1302</v>
      </c>
      <c r="C653" s="4" t="s">
        <v>1303</v>
      </c>
      <c r="D653" s="7">
        <v>261</v>
      </c>
      <c r="E653" s="4">
        <v>457.79</v>
      </c>
      <c r="F653" s="5">
        <f t="shared" si="10"/>
        <v>1.753984674329502</v>
      </c>
    </row>
    <row r="654" spans="1:6" x14ac:dyDescent="0.25">
      <c r="A654">
        <v>355</v>
      </c>
      <c r="B654" s="4" t="s">
        <v>1304</v>
      </c>
      <c r="C654" s="4" t="s">
        <v>1305</v>
      </c>
      <c r="D654" s="4">
        <v>209</v>
      </c>
      <c r="E654" s="4">
        <v>365.99</v>
      </c>
      <c r="F654" s="5">
        <f t="shared" si="10"/>
        <v>1.7511483253588518</v>
      </c>
    </row>
    <row r="655" spans="1:6" x14ac:dyDescent="0.25">
      <c r="B655" s="4" t="s">
        <v>1306</v>
      </c>
      <c r="C655" s="4" t="s">
        <v>1307</v>
      </c>
      <c r="D655" s="4">
        <v>191</v>
      </c>
      <c r="E655" s="4">
        <v>333.95</v>
      </c>
      <c r="F655" s="5">
        <f t="shared" si="10"/>
        <v>1.7484293193717277</v>
      </c>
    </row>
    <row r="656" spans="1:6" x14ac:dyDescent="0.25">
      <c r="B656" s="4" t="s">
        <v>1308</v>
      </c>
      <c r="C656" s="4" t="s">
        <v>1309</v>
      </c>
      <c r="D656" s="4">
        <v>69</v>
      </c>
      <c r="E656" s="4">
        <v>117.84</v>
      </c>
      <c r="F656" s="5">
        <f t="shared" si="10"/>
        <v>1.7078260869565218</v>
      </c>
    </row>
    <row r="657" spans="1:6" x14ac:dyDescent="0.25">
      <c r="B657" s="4" t="s">
        <v>1310</v>
      </c>
      <c r="C657" s="4" t="s">
        <v>1311</v>
      </c>
      <c r="D657" s="4">
        <v>159</v>
      </c>
      <c r="E657" s="4">
        <v>270.3</v>
      </c>
      <c r="F657" s="5">
        <f t="shared" si="10"/>
        <v>1.7000000000000002</v>
      </c>
    </row>
    <row r="658" spans="1:6" x14ac:dyDescent="0.25">
      <c r="B658" s="4" t="s">
        <v>1312</v>
      </c>
      <c r="C658" s="4" t="s">
        <v>1313</v>
      </c>
      <c r="D658" s="4">
        <v>156</v>
      </c>
      <c r="E658" s="4">
        <v>265.2</v>
      </c>
      <c r="F658" s="5">
        <f t="shared" si="10"/>
        <v>1.7</v>
      </c>
    </row>
    <row r="659" spans="1:6" x14ac:dyDescent="0.25">
      <c r="A659">
        <v>503</v>
      </c>
      <c r="B659" s="4" t="s">
        <v>1314</v>
      </c>
      <c r="C659" s="4" t="s">
        <v>1315</v>
      </c>
      <c r="D659" s="4">
        <v>45</v>
      </c>
      <c r="E659" s="4">
        <v>74.52</v>
      </c>
      <c r="F659" s="5">
        <f t="shared" si="10"/>
        <v>1.6559999999999999</v>
      </c>
    </row>
    <row r="660" spans="1:6" x14ac:dyDescent="0.25">
      <c r="A660">
        <v>352</v>
      </c>
      <c r="B660" s="4" t="s">
        <v>1316</v>
      </c>
      <c r="C660" s="4" t="s">
        <v>1317</v>
      </c>
      <c r="D660" s="4">
        <v>97</v>
      </c>
      <c r="E660" s="7">
        <v>156.16999999999999</v>
      </c>
      <c r="F660" s="5">
        <f t="shared" si="10"/>
        <v>1.6099999999999999</v>
      </c>
    </row>
    <row r="661" spans="1:6" x14ac:dyDescent="0.25">
      <c r="B661" s="4" t="s">
        <v>1318</v>
      </c>
      <c r="C661" s="4" t="s">
        <v>1319</v>
      </c>
      <c r="D661" s="4">
        <v>15</v>
      </c>
      <c r="E661" s="4">
        <v>24</v>
      </c>
      <c r="F661" s="5">
        <f t="shared" si="10"/>
        <v>1.6</v>
      </c>
    </row>
    <row r="662" spans="1:6" x14ac:dyDescent="0.25">
      <c r="B662" s="4" t="s">
        <v>1320</v>
      </c>
      <c r="C662" s="4" t="s">
        <v>1321</v>
      </c>
      <c r="D662" s="4">
        <v>35</v>
      </c>
      <c r="E662" s="4">
        <v>55.04</v>
      </c>
      <c r="F662" s="5">
        <f t="shared" si="10"/>
        <v>1.5725714285714285</v>
      </c>
    </row>
    <row r="663" spans="1:6" x14ac:dyDescent="0.25">
      <c r="B663" s="4" t="s">
        <v>1322</v>
      </c>
      <c r="C663" s="4" t="s">
        <v>1323</v>
      </c>
      <c r="D663" s="4">
        <v>214.25</v>
      </c>
      <c r="E663" s="4">
        <v>323.95</v>
      </c>
      <c r="F663" s="5">
        <f t="shared" si="10"/>
        <v>1.5120186697782962</v>
      </c>
    </row>
    <row r="664" spans="1:6" x14ac:dyDescent="0.25">
      <c r="A664">
        <v>393</v>
      </c>
      <c r="B664" s="4" t="s">
        <v>1324</v>
      </c>
      <c r="C664" s="4" t="s">
        <v>1325</v>
      </c>
      <c r="D664" s="4">
        <v>18</v>
      </c>
      <c r="E664" s="4">
        <v>27.09</v>
      </c>
      <c r="F664" s="5">
        <f t="shared" si="10"/>
        <v>1.5049999999999999</v>
      </c>
    </row>
    <row r="665" spans="1:6" x14ac:dyDescent="0.25">
      <c r="A665">
        <v>555</v>
      </c>
      <c r="B665" s="4" t="s">
        <v>1326</v>
      </c>
      <c r="C665" s="4" t="s">
        <v>1327</v>
      </c>
      <c r="D665" s="4">
        <v>878</v>
      </c>
      <c r="E665" s="4">
        <v>1317</v>
      </c>
      <c r="F665" s="5">
        <f t="shared" si="10"/>
        <v>1.5</v>
      </c>
    </row>
    <row r="666" spans="1:6" x14ac:dyDescent="0.25">
      <c r="B666" s="4" t="s">
        <v>1328</v>
      </c>
      <c r="C666" s="4" t="s">
        <v>1329</v>
      </c>
      <c r="D666" s="4">
        <v>620</v>
      </c>
      <c r="E666" s="4">
        <v>930</v>
      </c>
      <c r="F666" s="5">
        <f t="shared" si="10"/>
        <v>1.5</v>
      </c>
    </row>
    <row r="667" spans="1:6" x14ac:dyDescent="0.25">
      <c r="B667" s="4" t="s">
        <v>1330</v>
      </c>
      <c r="C667" s="4" t="s">
        <v>1331</v>
      </c>
      <c r="D667" s="4">
        <v>612</v>
      </c>
      <c r="E667" s="4">
        <v>918</v>
      </c>
      <c r="F667" s="5">
        <f t="shared" si="10"/>
        <v>1.5</v>
      </c>
    </row>
    <row r="668" spans="1:6" x14ac:dyDescent="0.25">
      <c r="A668">
        <v>569</v>
      </c>
      <c r="B668" s="4" t="s">
        <v>1332</v>
      </c>
      <c r="C668" s="4" t="s">
        <v>1333</v>
      </c>
      <c r="D668" s="4">
        <v>469</v>
      </c>
      <c r="E668" s="4">
        <v>703.5</v>
      </c>
      <c r="F668" s="5">
        <f t="shared" si="10"/>
        <v>1.5</v>
      </c>
    </row>
    <row r="669" spans="1:6" x14ac:dyDescent="0.25">
      <c r="B669" s="4" t="s">
        <v>1334</v>
      </c>
      <c r="C669" s="4" t="s">
        <v>1335</v>
      </c>
      <c r="D669" s="4">
        <v>97</v>
      </c>
      <c r="E669" s="4">
        <v>145.5</v>
      </c>
      <c r="F669" s="5">
        <f t="shared" si="10"/>
        <v>1.5</v>
      </c>
    </row>
    <row r="670" spans="1:6" x14ac:dyDescent="0.25">
      <c r="B670" s="4" t="s">
        <v>1336</v>
      </c>
      <c r="C670" s="4" t="s">
        <v>1337</v>
      </c>
      <c r="D670" s="4">
        <v>96</v>
      </c>
      <c r="E670" s="4">
        <v>144</v>
      </c>
      <c r="F670" s="5">
        <f t="shared" si="10"/>
        <v>1.5</v>
      </c>
    </row>
    <row r="671" spans="1:6" x14ac:dyDescent="0.25">
      <c r="A671">
        <v>250</v>
      </c>
      <c r="B671" s="4" t="s">
        <v>1338</v>
      </c>
      <c r="C671" s="4" t="s">
        <v>1339</v>
      </c>
      <c r="D671" s="4">
        <v>46</v>
      </c>
      <c r="E671" s="4">
        <v>69</v>
      </c>
      <c r="F671" s="5">
        <f t="shared" si="10"/>
        <v>1.5</v>
      </c>
    </row>
    <row r="672" spans="1:6" x14ac:dyDescent="0.25">
      <c r="A672">
        <v>125</v>
      </c>
      <c r="B672" s="4" t="s">
        <v>1340</v>
      </c>
      <c r="C672" s="4" t="s">
        <v>1341</v>
      </c>
      <c r="D672" s="4">
        <v>32</v>
      </c>
      <c r="E672" s="4">
        <v>48</v>
      </c>
      <c r="F672" s="5">
        <f t="shared" si="10"/>
        <v>1.5</v>
      </c>
    </row>
    <row r="673" spans="1:7" x14ac:dyDescent="0.25">
      <c r="A673">
        <v>409</v>
      </c>
      <c r="B673" s="4" t="s">
        <v>1342</v>
      </c>
      <c r="C673" s="4" t="s">
        <v>1343</v>
      </c>
      <c r="D673" s="7">
        <v>57</v>
      </c>
      <c r="E673" s="4">
        <v>84.32</v>
      </c>
      <c r="F673" s="5">
        <f t="shared" si="10"/>
        <v>1.4792982456140349</v>
      </c>
    </row>
    <row r="674" spans="1:7" x14ac:dyDescent="0.25">
      <c r="B674" s="4" t="s">
        <v>1344</v>
      </c>
      <c r="C674" s="4" t="s">
        <v>1345</v>
      </c>
      <c r="D674" s="4">
        <v>4</v>
      </c>
      <c r="E674" s="4">
        <v>5.62</v>
      </c>
      <c r="F674" s="5">
        <f t="shared" si="10"/>
        <v>1.405</v>
      </c>
    </row>
    <row r="675" spans="1:7" x14ac:dyDescent="0.25">
      <c r="B675" s="4" t="s">
        <v>1346</v>
      </c>
      <c r="C675" s="4" t="s">
        <v>1347</v>
      </c>
      <c r="D675" s="4">
        <v>376.11500000000001</v>
      </c>
      <c r="E675" s="4">
        <v>528.07000000000005</v>
      </c>
      <c r="F675" s="5">
        <f t="shared" si="10"/>
        <v>1.4040120707762254</v>
      </c>
    </row>
    <row r="676" spans="1:7" x14ac:dyDescent="0.25">
      <c r="B676" s="4" t="s">
        <v>1348</v>
      </c>
      <c r="C676" s="4" t="s">
        <v>1349</v>
      </c>
      <c r="D676" s="4">
        <v>98</v>
      </c>
      <c r="E676" s="4">
        <v>137.19999999999999</v>
      </c>
      <c r="F676" s="5">
        <f t="shared" si="10"/>
        <v>1.4</v>
      </c>
    </row>
    <row r="677" spans="1:7" x14ac:dyDescent="0.25">
      <c r="B677" s="4" t="s">
        <v>1350</v>
      </c>
      <c r="C677" s="4" t="s">
        <v>1351</v>
      </c>
      <c r="D677" s="4">
        <v>1446</v>
      </c>
      <c r="E677" s="4">
        <v>2012.2</v>
      </c>
      <c r="F677" s="5">
        <f t="shared" si="10"/>
        <v>1.3915629322268326</v>
      </c>
    </row>
    <row r="678" spans="1:7" x14ac:dyDescent="0.25">
      <c r="A678">
        <v>361</v>
      </c>
      <c r="B678" s="4" t="s">
        <v>1352</v>
      </c>
      <c r="C678" s="4" t="s">
        <v>1353</v>
      </c>
      <c r="D678" s="4">
        <v>34</v>
      </c>
      <c r="E678" s="7">
        <v>47.06</v>
      </c>
      <c r="F678" s="5">
        <f t="shared" si="10"/>
        <v>1.3841176470588237</v>
      </c>
    </row>
    <row r="679" spans="1:7" x14ac:dyDescent="0.25">
      <c r="B679" s="4" t="s">
        <v>1354</v>
      </c>
      <c r="C679" s="4" t="s">
        <v>1355</v>
      </c>
      <c r="D679" s="4">
        <v>36</v>
      </c>
      <c r="E679" s="4">
        <v>48.6</v>
      </c>
      <c r="F679" s="5">
        <f t="shared" si="10"/>
        <v>1.35</v>
      </c>
    </row>
    <row r="680" spans="1:7" x14ac:dyDescent="0.25">
      <c r="B680" s="4" t="s">
        <v>1356</v>
      </c>
      <c r="C680" s="4" t="s">
        <v>1357</v>
      </c>
      <c r="D680" s="4">
        <v>65</v>
      </c>
      <c r="E680" s="4">
        <v>87.1</v>
      </c>
      <c r="F680" s="5">
        <f t="shared" si="10"/>
        <v>1.3399999999999999</v>
      </c>
    </row>
    <row r="681" spans="1:7" x14ac:dyDescent="0.25">
      <c r="A681">
        <v>56</v>
      </c>
      <c r="B681" s="4" t="s">
        <v>1358</v>
      </c>
      <c r="C681" s="4" t="s">
        <v>1359</v>
      </c>
      <c r="D681" s="4">
        <v>74</v>
      </c>
      <c r="E681" s="4">
        <v>98.79</v>
      </c>
      <c r="F681" s="5">
        <f t="shared" si="10"/>
        <v>1.3350000000000002</v>
      </c>
    </row>
    <row r="682" spans="1:7" x14ac:dyDescent="0.25">
      <c r="B682" s="4" t="s">
        <v>1360</v>
      </c>
      <c r="C682" s="4" t="s">
        <v>1361</v>
      </c>
      <c r="D682" s="4">
        <v>106</v>
      </c>
      <c r="E682" s="4">
        <v>140.28</v>
      </c>
      <c r="F682" s="5">
        <f t="shared" si="10"/>
        <v>1.3233962264150942</v>
      </c>
    </row>
    <row r="683" spans="1:7" x14ac:dyDescent="0.25">
      <c r="A683">
        <v>531</v>
      </c>
      <c r="B683" s="4" t="s">
        <v>1362</v>
      </c>
      <c r="C683" s="4" t="s">
        <v>1363</v>
      </c>
      <c r="D683" s="4">
        <v>258</v>
      </c>
      <c r="E683" s="7">
        <v>339.53</v>
      </c>
      <c r="F683" s="5">
        <f t="shared" si="10"/>
        <v>1.3160077519379845</v>
      </c>
      <c r="G683" t="e">
        <f>+VLOOKUP(B683,'[1]Hoja 1'!$B:$H,7,0)</f>
        <v>#N/A</v>
      </c>
    </row>
    <row r="684" spans="1:7" x14ac:dyDescent="0.25">
      <c r="A684">
        <v>445</v>
      </c>
      <c r="B684" s="4" t="s">
        <v>1364</v>
      </c>
      <c r="C684" s="4" t="s">
        <v>1365</v>
      </c>
      <c r="D684" s="4">
        <v>18</v>
      </c>
      <c r="E684" s="4">
        <v>23.22</v>
      </c>
      <c r="F684" s="5">
        <f t="shared" si="10"/>
        <v>1.29</v>
      </c>
      <c r="G684" t="e">
        <f>+VLOOKUP(B684,'[1]Hoja 1'!$B:$H,7,0)</f>
        <v>#N/A</v>
      </c>
    </row>
    <row r="685" spans="1:7" x14ac:dyDescent="0.25">
      <c r="B685" s="4" t="s">
        <v>1366</v>
      </c>
      <c r="C685" s="4" t="s">
        <v>1367</v>
      </c>
      <c r="D685" s="4">
        <v>18</v>
      </c>
      <c r="E685" s="4">
        <v>23.22</v>
      </c>
      <c r="F685" s="5">
        <f t="shared" si="10"/>
        <v>1.29</v>
      </c>
    </row>
    <row r="686" spans="1:7" x14ac:dyDescent="0.25">
      <c r="B686" s="4" t="s">
        <v>1368</v>
      </c>
      <c r="C686" s="4" t="s">
        <v>1369</v>
      </c>
      <c r="D686" s="7">
        <v>18</v>
      </c>
      <c r="E686" s="4">
        <v>23.22</v>
      </c>
      <c r="F686" s="5">
        <f t="shared" si="10"/>
        <v>1.29</v>
      </c>
    </row>
    <row r="687" spans="1:7" x14ac:dyDescent="0.25">
      <c r="A687">
        <v>387</v>
      </c>
      <c r="B687" s="4" t="s">
        <v>1370</v>
      </c>
      <c r="C687" s="4" t="s">
        <v>1371</v>
      </c>
      <c r="D687" s="4">
        <v>443</v>
      </c>
      <c r="E687" s="4">
        <v>567.37</v>
      </c>
      <c r="F687" s="5">
        <f t="shared" si="10"/>
        <v>1.280744920993228</v>
      </c>
    </row>
    <row r="688" spans="1:7" x14ac:dyDescent="0.25">
      <c r="B688" s="4" t="s">
        <v>1372</v>
      </c>
      <c r="C688" s="4" t="s">
        <v>1373</v>
      </c>
      <c r="D688" s="4">
        <v>109</v>
      </c>
      <c r="E688" s="7">
        <v>138.76</v>
      </c>
      <c r="F688" s="5">
        <f t="shared" si="10"/>
        <v>1.2730275229357797</v>
      </c>
    </row>
    <row r="689" spans="1:6" x14ac:dyDescent="0.25">
      <c r="A689">
        <v>112</v>
      </c>
      <c r="B689" s="4" t="s">
        <v>1374</v>
      </c>
      <c r="C689" s="4" t="s">
        <v>1375</v>
      </c>
      <c r="D689" s="4">
        <v>165</v>
      </c>
      <c r="E689" s="4">
        <v>209.55</v>
      </c>
      <c r="F689" s="5">
        <f t="shared" si="10"/>
        <v>1.27</v>
      </c>
    </row>
    <row r="690" spans="1:6" x14ac:dyDescent="0.25">
      <c r="B690" s="4" t="s">
        <v>1376</v>
      </c>
      <c r="C690" s="4" t="s">
        <v>1377</v>
      </c>
      <c r="D690" s="4">
        <v>585</v>
      </c>
      <c r="E690" s="4">
        <v>731.25</v>
      </c>
      <c r="F690" s="5">
        <f t="shared" si="10"/>
        <v>1.25</v>
      </c>
    </row>
    <row r="691" spans="1:6" x14ac:dyDescent="0.25">
      <c r="B691" s="4" t="s">
        <v>1378</v>
      </c>
      <c r="C691" s="4" t="s">
        <v>1379</v>
      </c>
      <c r="D691" s="4">
        <v>8</v>
      </c>
      <c r="E691" s="7">
        <v>10</v>
      </c>
      <c r="F691" s="5">
        <f t="shared" si="10"/>
        <v>1.25</v>
      </c>
    </row>
    <row r="692" spans="1:6" x14ac:dyDescent="0.25">
      <c r="B692" s="4" t="s">
        <v>1380</v>
      </c>
      <c r="C692" s="4" t="s">
        <v>1381</v>
      </c>
      <c r="D692" s="4">
        <v>179</v>
      </c>
      <c r="E692" s="7">
        <v>221.96</v>
      </c>
      <c r="F692" s="5">
        <f t="shared" si="10"/>
        <v>1.24</v>
      </c>
    </row>
    <row r="693" spans="1:6" x14ac:dyDescent="0.25">
      <c r="B693" s="4" t="s">
        <v>1382</v>
      </c>
      <c r="C693" s="4" t="s">
        <v>1383</v>
      </c>
      <c r="D693" s="4">
        <v>90</v>
      </c>
      <c r="E693" s="4">
        <v>111.6</v>
      </c>
      <c r="F693" s="5">
        <f t="shared" si="10"/>
        <v>1.24</v>
      </c>
    </row>
    <row r="694" spans="1:6" x14ac:dyDescent="0.25">
      <c r="A694">
        <v>303</v>
      </c>
      <c r="B694" s="4" t="s">
        <v>1384</v>
      </c>
      <c r="C694" s="4" t="s">
        <v>1385</v>
      </c>
      <c r="D694" s="4">
        <v>87</v>
      </c>
      <c r="E694" s="4">
        <v>105.01</v>
      </c>
      <c r="F694" s="5">
        <f t="shared" si="10"/>
        <v>1.2070114942528736</v>
      </c>
    </row>
    <row r="695" spans="1:6" x14ac:dyDescent="0.25">
      <c r="A695">
        <v>57</v>
      </c>
      <c r="B695" s="4" t="s">
        <v>1386</v>
      </c>
      <c r="C695" s="4" t="s">
        <v>1387</v>
      </c>
      <c r="D695" s="4">
        <v>399.2</v>
      </c>
      <c r="E695" s="4">
        <v>479.07</v>
      </c>
      <c r="F695" s="5">
        <f t="shared" si="10"/>
        <v>1.2000751503006013</v>
      </c>
    </row>
    <row r="696" spans="1:6" x14ac:dyDescent="0.25">
      <c r="B696" s="4" t="s">
        <v>1388</v>
      </c>
      <c r="C696" s="4" t="s">
        <v>1389</v>
      </c>
      <c r="D696" s="4">
        <v>0.92</v>
      </c>
      <c r="E696" s="4">
        <v>1.1000000000000001</v>
      </c>
      <c r="F696" s="5">
        <f t="shared" si="10"/>
        <v>1.1956521739130435</v>
      </c>
    </row>
    <row r="697" spans="1:6" x14ac:dyDescent="0.25">
      <c r="A697">
        <v>415</v>
      </c>
      <c r="B697" s="4" t="s">
        <v>1390</v>
      </c>
      <c r="C697" s="4" t="s">
        <v>1391</v>
      </c>
      <c r="D697" s="4">
        <v>281</v>
      </c>
      <c r="E697" s="4">
        <v>334.45</v>
      </c>
      <c r="F697" s="5">
        <f t="shared" si="10"/>
        <v>1.1902135231316726</v>
      </c>
    </row>
    <row r="698" spans="1:6" x14ac:dyDescent="0.25">
      <c r="B698" s="4" t="s">
        <v>1392</v>
      </c>
      <c r="C698" s="4" t="s">
        <v>1393</v>
      </c>
      <c r="D698" s="4">
        <v>12</v>
      </c>
      <c r="E698" s="4">
        <v>14.28</v>
      </c>
      <c r="F698" s="5">
        <f t="shared" si="10"/>
        <v>1.19</v>
      </c>
    </row>
    <row r="699" spans="1:6" x14ac:dyDescent="0.25">
      <c r="A699">
        <v>458</v>
      </c>
      <c r="B699" s="4" t="s">
        <v>1394</v>
      </c>
      <c r="C699" s="4" t="s">
        <v>1395</v>
      </c>
      <c r="D699" s="7">
        <v>271.75</v>
      </c>
      <c r="E699" s="4">
        <v>323.38</v>
      </c>
      <c r="F699" s="5">
        <f t="shared" si="10"/>
        <v>1.1899908003679853</v>
      </c>
    </row>
    <row r="700" spans="1:6" x14ac:dyDescent="0.25">
      <c r="A700">
        <v>553</v>
      </c>
      <c r="B700" s="4" t="s">
        <v>1396</v>
      </c>
      <c r="C700" s="4" t="s">
        <v>1397</v>
      </c>
      <c r="D700" s="4">
        <v>430</v>
      </c>
      <c r="E700" s="4">
        <v>507.5</v>
      </c>
      <c r="F700" s="5">
        <f t="shared" si="10"/>
        <v>1.180232558139535</v>
      </c>
    </row>
    <row r="701" spans="1:6" x14ac:dyDescent="0.25">
      <c r="B701" s="4" t="s">
        <v>1398</v>
      </c>
      <c r="C701" s="4" t="s">
        <v>1399</v>
      </c>
      <c r="D701" s="4">
        <v>6</v>
      </c>
      <c r="E701" s="4">
        <v>7.02</v>
      </c>
      <c r="F701" s="5">
        <f t="shared" si="10"/>
        <v>1.17</v>
      </c>
    </row>
    <row r="702" spans="1:6" x14ac:dyDescent="0.25">
      <c r="B702" s="4" t="s">
        <v>1400</v>
      </c>
      <c r="C702" s="4" t="s">
        <v>1401</v>
      </c>
      <c r="D702" s="4">
        <v>6</v>
      </c>
      <c r="E702" s="4">
        <v>7.02</v>
      </c>
      <c r="F702" s="5">
        <f t="shared" si="10"/>
        <v>1.17</v>
      </c>
    </row>
    <row r="703" spans="1:6" x14ac:dyDescent="0.25">
      <c r="B703" s="4" t="s">
        <v>1402</v>
      </c>
      <c r="C703" s="4" t="s">
        <v>1403</v>
      </c>
      <c r="D703" s="4">
        <v>6</v>
      </c>
      <c r="E703" s="7">
        <v>6.96</v>
      </c>
      <c r="F703" s="5">
        <f t="shared" si="10"/>
        <v>1.1599999999999999</v>
      </c>
    </row>
    <row r="704" spans="1:6" x14ac:dyDescent="0.25">
      <c r="B704" s="4" t="s">
        <v>1404</v>
      </c>
      <c r="C704" s="4" t="s">
        <v>1405</v>
      </c>
      <c r="D704" s="4">
        <v>13</v>
      </c>
      <c r="E704" s="4">
        <v>14.56</v>
      </c>
      <c r="F704" s="5">
        <f t="shared" si="10"/>
        <v>1.1200000000000001</v>
      </c>
    </row>
    <row r="705" spans="1:7" x14ac:dyDescent="0.25">
      <c r="A705">
        <v>461</v>
      </c>
      <c r="B705" s="4" t="s">
        <v>1406</v>
      </c>
      <c r="C705" s="4" t="s">
        <v>1407</v>
      </c>
      <c r="D705" s="4">
        <v>116</v>
      </c>
      <c r="E705" s="4">
        <v>128.76</v>
      </c>
      <c r="F705" s="5">
        <f t="shared" si="10"/>
        <v>1.1099999999999999</v>
      </c>
    </row>
    <row r="706" spans="1:7" x14ac:dyDescent="0.25">
      <c r="A706">
        <v>108</v>
      </c>
      <c r="B706" s="4" t="s">
        <v>1408</v>
      </c>
      <c r="C706" s="4" t="s">
        <v>1409</v>
      </c>
      <c r="D706" s="4">
        <v>21</v>
      </c>
      <c r="E706" s="4">
        <v>23.12</v>
      </c>
      <c r="F706" s="5">
        <f t="shared" ref="F706:F769" si="11">+IFERROR(E706/D706,0)</f>
        <v>1.1009523809523809</v>
      </c>
      <c r="G706" t="s">
        <v>1410</v>
      </c>
    </row>
    <row r="707" spans="1:7" x14ac:dyDescent="0.25">
      <c r="B707" s="4" t="s">
        <v>1411</v>
      </c>
      <c r="C707" s="4" t="s">
        <v>1412</v>
      </c>
      <c r="D707" s="4">
        <v>58</v>
      </c>
      <c r="E707" s="4">
        <v>63.8</v>
      </c>
      <c r="F707" s="5">
        <f t="shared" si="11"/>
        <v>1.0999999999999999</v>
      </c>
    </row>
    <row r="708" spans="1:7" x14ac:dyDescent="0.25">
      <c r="B708" s="4" t="s">
        <v>1413</v>
      </c>
      <c r="C708" s="4" t="s">
        <v>1414</v>
      </c>
      <c r="D708" s="4">
        <v>59</v>
      </c>
      <c r="E708" s="4">
        <v>64.78</v>
      </c>
      <c r="F708" s="5">
        <f t="shared" si="11"/>
        <v>1.0979661016949154</v>
      </c>
    </row>
    <row r="709" spans="1:7" x14ac:dyDescent="0.25">
      <c r="B709" s="4" t="s">
        <v>1415</v>
      </c>
      <c r="C709" s="4" t="s">
        <v>1416</v>
      </c>
      <c r="D709" s="4">
        <v>5</v>
      </c>
      <c r="E709" s="4">
        <v>5.38</v>
      </c>
      <c r="F709" s="5">
        <f t="shared" si="11"/>
        <v>1.0760000000000001</v>
      </c>
    </row>
    <row r="710" spans="1:7" x14ac:dyDescent="0.25">
      <c r="B710" s="4" t="s">
        <v>1417</v>
      </c>
      <c r="C710" s="4" t="s">
        <v>1418</v>
      </c>
      <c r="D710" s="4">
        <v>150</v>
      </c>
      <c r="E710" s="7">
        <v>159.75</v>
      </c>
      <c r="F710" s="5">
        <f t="shared" si="11"/>
        <v>1.0649999999999999</v>
      </c>
    </row>
    <row r="711" spans="1:7" x14ac:dyDescent="0.25">
      <c r="A711">
        <v>538</v>
      </c>
      <c r="B711" s="4" t="s">
        <v>1419</v>
      </c>
      <c r="C711" s="4" t="s">
        <v>1420</v>
      </c>
      <c r="D711" s="4">
        <v>405</v>
      </c>
      <c r="E711" s="7">
        <v>424.04</v>
      </c>
      <c r="F711" s="5">
        <f t="shared" si="11"/>
        <v>1.0470123456790124</v>
      </c>
    </row>
    <row r="712" spans="1:7" x14ac:dyDescent="0.25">
      <c r="A712">
        <v>331</v>
      </c>
      <c r="B712" s="4" t="s">
        <v>1421</v>
      </c>
      <c r="C712" s="4" t="s">
        <v>1422</v>
      </c>
      <c r="D712" s="4">
        <v>43.6</v>
      </c>
      <c r="E712" s="7">
        <v>45.42</v>
      </c>
      <c r="F712" s="5">
        <f t="shared" si="11"/>
        <v>1.0417431192660551</v>
      </c>
    </row>
    <row r="713" spans="1:7" x14ac:dyDescent="0.25">
      <c r="B713" s="4" t="s">
        <v>1423</v>
      </c>
      <c r="C713" s="4" t="s">
        <v>1424</v>
      </c>
      <c r="D713" s="4">
        <v>197.5</v>
      </c>
      <c r="E713" s="7">
        <v>202.44</v>
      </c>
      <c r="F713" s="5">
        <f t="shared" si="11"/>
        <v>1.025012658227848</v>
      </c>
    </row>
    <row r="714" spans="1:7" x14ac:dyDescent="0.25">
      <c r="A714">
        <v>70</v>
      </c>
      <c r="B714" s="4" t="s">
        <v>1425</v>
      </c>
      <c r="C714" s="4" t="s">
        <v>1426</v>
      </c>
      <c r="D714" s="4">
        <v>153</v>
      </c>
      <c r="E714" s="7">
        <v>156.52000000000001</v>
      </c>
      <c r="F714" s="5">
        <f t="shared" si="11"/>
        <v>1.0230065359477125</v>
      </c>
    </row>
    <row r="715" spans="1:7" x14ac:dyDescent="0.25">
      <c r="B715" s="4" t="s">
        <v>1427</v>
      </c>
      <c r="C715" s="4" t="s">
        <v>1428</v>
      </c>
      <c r="D715" s="4">
        <v>83</v>
      </c>
      <c r="E715" s="7">
        <v>84.66</v>
      </c>
      <c r="F715" s="5">
        <f t="shared" si="11"/>
        <v>1.02</v>
      </c>
    </row>
    <row r="716" spans="1:7" x14ac:dyDescent="0.25">
      <c r="A716">
        <v>386</v>
      </c>
      <c r="B716" s="4" t="s">
        <v>1429</v>
      </c>
      <c r="C716" s="4" t="s">
        <v>1430</v>
      </c>
      <c r="D716" s="4">
        <v>43</v>
      </c>
      <c r="E716" s="4">
        <v>43.66</v>
      </c>
      <c r="F716" s="5">
        <f t="shared" si="11"/>
        <v>1.0153488372093022</v>
      </c>
    </row>
    <row r="717" spans="1:7" x14ac:dyDescent="0.25">
      <c r="B717" s="4" t="s">
        <v>1431</v>
      </c>
      <c r="C717" s="4" t="s">
        <v>1432</v>
      </c>
      <c r="D717" s="4">
        <v>10</v>
      </c>
      <c r="E717" s="4">
        <v>10.1</v>
      </c>
      <c r="F717" s="5">
        <f t="shared" si="11"/>
        <v>1.01</v>
      </c>
    </row>
    <row r="718" spans="1:7" x14ac:dyDescent="0.25">
      <c r="B718" s="4" t="s">
        <v>1433</v>
      </c>
      <c r="C718" s="4" t="s">
        <v>1434</v>
      </c>
      <c r="D718" s="7">
        <v>51</v>
      </c>
      <c r="E718" s="4">
        <v>50.4</v>
      </c>
      <c r="F718" s="5">
        <f t="shared" si="11"/>
        <v>0.98823529411764699</v>
      </c>
    </row>
    <row r="719" spans="1:7" x14ac:dyDescent="0.25">
      <c r="A719">
        <v>513</v>
      </c>
      <c r="B719" s="4" t="s">
        <v>1435</v>
      </c>
      <c r="C719" s="4" t="s">
        <v>1436</v>
      </c>
      <c r="D719" s="4">
        <v>18</v>
      </c>
      <c r="E719" s="7">
        <v>17.64</v>
      </c>
      <c r="F719" s="5">
        <f t="shared" si="11"/>
        <v>0.98</v>
      </c>
      <c r="G719" t="e">
        <f>+VLOOKUP(B719,'[1]Hoja 1'!$B:$H,7,0)</f>
        <v>#N/A</v>
      </c>
    </row>
    <row r="720" spans="1:7" x14ac:dyDescent="0.25">
      <c r="A720">
        <v>198</v>
      </c>
      <c r="B720" s="4" t="s">
        <v>1437</v>
      </c>
      <c r="C720" s="4" t="s">
        <v>1438</v>
      </c>
      <c r="D720" s="4">
        <v>211.65</v>
      </c>
      <c r="E720" s="4">
        <v>200.64</v>
      </c>
      <c r="F720" s="5">
        <f t="shared" si="11"/>
        <v>0.94798015591778872</v>
      </c>
    </row>
    <row r="721" spans="1:7" x14ac:dyDescent="0.25">
      <c r="B721" s="4" t="s">
        <v>1439</v>
      </c>
      <c r="C721" s="4" t="s">
        <v>1440</v>
      </c>
      <c r="D721" s="4">
        <v>382</v>
      </c>
      <c r="E721" s="4">
        <v>357.93</v>
      </c>
      <c r="F721" s="5">
        <f t="shared" si="11"/>
        <v>0.93698952879581154</v>
      </c>
    </row>
    <row r="722" spans="1:7" x14ac:dyDescent="0.25">
      <c r="A722">
        <v>131</v>
      </c>
      <c r="B722" s="4" t="s">
        <v>1441</v>
      </c>
      <c r="C722" s="4" t="s">
        <v>1442</v>
      </c>
      <c r="D722" s="4">
        <v>97.5</v>
      </c>
      <c r="E722" s="4">
        <v>91.35</v>
      </c>
      <c r="F722" s="5">
        <f t="shared" si="11"/>
        <v>0.93692307692307686</v>
      </c>
    </row>
    <row r="723" spans="1:7" x14ac:dyDescent="0.25">
      <c r="A723">
        <v>476</v>
      </c>
      <c r="B723" s="4" t="s">
        <v>1443</v>
      </c>
      <c r="C723" s="4" t="s">
        <v>1444</v>
      </c>
      <c r="D723" s="4">
        <v>651</v>
      </c>
      <c r="E723" s="4">
        <v>605.42999999999995</v>
      </c>
      <c r="F723" s="5">
        <f t="shared" si="11"/>
        <v>0.92999999999999994</v>
      </c>
      <c r="G723" t="e">
        <f>+VLOOKUP(B723,'[1]Hoja 1'!$B:$H,7,0)</f>
        <v>#N/A</v>
      </c>
    </row>
    <row r="724" spans="1:7" x14ac:dyDescent="0.25">
      <c r="B724" s="4" t="s">
        <v>1445</v>
      </c>
      <c r="C724" s="4" t="s">
        <v>1446</v>
      </c>
      <c r="D724" s="4">
        <v>32</v>
      </c>
      <c r="E724" s="4">
        <v>29.12</v>
      </c>
      <c r="F724" s="5">
        <f t="shared" si="11"/>
        <v>0.91</v>
      </c>
    </row>
    <row r="725" spans="1:7" x14ac:dyDescent="0.25">
      <c r="B725" s="4" t="s">
        <v>1447</v>
      </c>
      <c r="C725" s="4" t="s">
        <v>1448</v>
      </c>
      <c r="D725" s="4">
        <v>282</v>
      </c>
      <c r="E725" s="4">
        <v>253.8</v>
      </c>
      <c r="F725" s="5">
        <f t="shared" si="11"/>
        <v>0.9</v>
      </c>
    </row>
    <row r="726" spans="1:7" x14ac:dyDescent="0.25">
      <c r="B726" s="4" t="s">
        <v>1449</v>
      </c>
      <c r="C726" s="4" t="s">
        <v>1450</v>
      </c>
      <c r="D726" s="4">
        <v>17</v>
      </c>
      <c r="E726" s="4">
        <v>14.94</v>
      </c>
      <c r="F726" s="5">
        <f t="shared" si="11"/>
        <v>0.87882352941176467</v>
      </c>
    </row>
    <row r="727" spans="1:7" x14ac:dyDescent="0.25">
      <c r="B727" s="4" t="s">
        <v>1451</v>
      </c>
      <c r="C727" s="4" t="s">
        <v>1452</v>
      </c>
      <c r="D727" s="4">
        <v>191.07499999999999</v>
      </c>
      <c r="E727" s="4">
        <v>167.58</v>
      </c>
      <c r="F727" s="5">
        <f t="shared" si="11"/>
        <v>0.87703781237733891</v>
      </c>
    </row>
    <row r="728" spans="1:7" x14ac:dyDescent="0.25">
      <c r="B728" s="4" t="s">
        <v>1453</v>
      </c>
      <c r="C728" s="4" t="s">
        <v>1454</v>
      </c>
      <c r="D728" s="4">
        <v>322</v>
      </c>
      <c r="E728" s="4">
        <v>279.48</v>
      </c>
      <c r="F728" s="5">
        <f t="shared" si="11"/>
        <v>0.86795031055900629</v>
      </c>
    </row>
    <row r="729" spans="1:7" x14ac:dyDescent="0.25">
      <c r="B729" s="4" t="s">
        <v>1455</v>
      </c>
      <c r="C729" s="4" t="s">
        <v>1456</v>
      </c>
      <c r="D729" s="4">
        <v>317</v>
      </c>
      <c r="E729" s="4">
        <v>275.14</v>
      </c>
      <c r="F729" s="5">
        <f t="shared" si="11"/>
        <v>0.86794952681388005</v>
      </c>
    </row>
    <row r="730" spans="1:7" x14ac:dyDescent="0.25">
      <c r="A730">
        <v>279</v>
      </c>
      <c r="B730" s="4" t="s">
        <v>1457</v>
      </c>
      <c r="C730" s="4" t="s">
        <v>1458</v>
      </c>
      <c r="D730" s="4">
        <v>1195</v>
      </c>
      <c r="E730" s="4">
        <v>1015.95</v>
      </c>
      <c r="F730" s="5">
        <f t="shared" si="11"/>
        <v>0.85016736401673643</v>
      </c>
    </row>
    <row r="731" spans="1:7" x14ac:dyDescent="0.25">
      <c r="B731" s="4" t="s">
        <v>1459</v>
      </c>
      <c r="C731" s="4" t="s">
        <v>1460</v>
      </c>
      <c r="D731" s="4">
        <v>1106</v>
      </c>
      <c r="E731" s="4">
        <v>940.11</v>
      </c>
      <c r="F731" s="5">
        <f t="shared" si="11"/>
        <v>0.85000904159132007</v>
      </c>
    </row>
    <row r="732" spans="1:7" x14ac:dyDescent="0.25">
      <c r="B732" s="4" t="s">
        <v>1461</v>
      </c>
      <c r="C732" s="4" t="s">
        <v>1462</v>
      </c>
      <c r="D732" s="4">
        <v>185</v>
      </c>
      <c r="E732" s="4">
        <v>157.25</v>
      </c>
      <c r="F732" s="5">
        <f t="shared" si="11"/>
        <v>0.85</v>
      </c>
    </row>
    <row r="733" spans="1:7" x14ac:dyDescent="0.25">
      <c r="B733" s="4" t="s">
        <v>1463</v>
      </c>
      <c r="C733" s="4" t="s">
        <v>1464</v>
      </c>
      <c r="D733" s="4">
        <v>30</v>
      </c>
      <c r="E733" s="4">
        <v>25.5</v>
      </c>
      <c r="F733" s="5">
        <f t="shared" si="11"/>
        <v>0.85</v>
      </c>
    </row>
    <row r="734" spans="1:7" x14ac:dyDescent="0.25">
      <c r="A734">
        <v>300</v>
      </c>
      <c r="B734" s="4" t="s">
        <v>1465</v>
      </c>
      <c r="C734" s="4" t="s">
        <v>1466</v>
      </c>
      <c r="D734" s="4">
        <v>49</v>
      </c>
      <c r="E734" s="4">
        <v>41.16</v>
      </c>
      <c r="F734" s="5">
        <f t="shared" si="11"/>
        <v>0.84</v>
      </c>
    </row>
    <row r="735" spans="1:7" x14ac:dyDescent="0.25">
      <c r="B735" s="4" t="s">
        <v>1467</v>
      </c>
      <c r="C735" s="4" t="s">
        <v>1468</v>
      </c>
      <c r="D735" s="4">
        <v>100</v>
      </c>
      <c r="E735" s="4">
        <v>83</v>
      </c>
      <c r="F735" s="5">
        <f t="shared" si="11"/>
        <v>0.83</v>
      </c>
    </row>
    <row r="736" spans="1:7" x14ac:dyDescent="0.25">
      <c r="B736" s="4" t="s">
        <v>1469</v>
      </c>
      <c r="C736" s="4" t="s">
        <v>1470</v>
      </c>
      <c r="D736" s="4">
        <v>58</v>
      </c>
      <c r="E736" s="4">
        <v>47.39</v>
      </c>
      <c r="F736" s="5">
        <f t="shared" si="11"/>
        <v>0.8170689655172414</v>
      </c>
    </row>
    <row r="737" spans="1:6" x14ac:dyDescent="0.25">
      <c r="B737" s="4" t="s">
        <v>1471</v>
      </c>
      <c r="C737" s="4" t="s">
        <v>1472</v>
      </c>
      <c r="D737" s="4">
        <v>41</v>
      </c>
      <c r="E737" s="4">
        <v>32.799999999999997</v>
      </c>
      <c r="F737" s="5">
        <f t="shared" si="11"/>
        <v>0.79999999999999993</v>
      </c>
    </row>
    <row r="738" spans="1:6" x14ac:dyDescent="0.25">
      <c r="B738" s="4" t="s">
        <v>1473</v>
      </c>
      <c r="C738" s="4" t="s">
        <v>1474</v>
      </c>
      <c r="D738" s="4">
        <v>157</v>
      </c>
      <c r="E738" s="4">
        <v>125.59</v>
      </c>
      <c r="F738" s="5">
        <f t="shared" si="11"/>
        <v>0.79993630573248409</v>
      </c>
    </row>
    <row r="739" spans="1:6" x14ac:dyDescent="0.25">
      <c r="B739" s="4" t="s">
        <v>1475</v>
      </c>
      <c r="C739" s="4" t="s">
        <v>1476</v>
      </c>
      <c r="D739" s="4">
        <v>415</v>
      </c>
      <c r="E739" s="4">
        <v>325.39</v>
      </c>
      <c r="F739" s="5">
        <f t="shared" si="11"/>
        <v>0.78407228915662652</v>
      </c>
    </row>
    <row r="740" spans="1:6" x14ac:dyDescent="0.25">
      <c r="B740" s="4" t="s">
        <v>1477</v>
      </c>
      <c r="C740" s="4" t="s">
        <v>1478</v>
      </c>
      <c r="D740" s="4">
        <v>180</v>
      </c>
      <c r="E740" s="4">
        <v>136.93</v>
      </c>
      <c r="F740" s="5">
        <f t="shared" si="11"/>
        <v>0.7607222222222223</v>
      </c>
    </row>
    <row r="741" spans="1:6" x14ac:dyDescent="0.25">
      <c r="B741" s="4" t="s">
        <v>1479</v>
      </c>
      <c r="C741" s="4" t="s">
        <v>1480</v>
      </c>
      <c r="D741" s="4">
        <v>18</v>
      </c>
      <c r="E741" s="4">
        <v>13.61</v>
      </c>
      <c r="F741" s="5">
        <f t="shared" si="11"/>
        <v>0.75611111111111107</v>
      </c>
    </row>
    <row r="742" spans="1:6" x14ac:dyDescent="0.25">
      <c r="B742" s="4" t="s">
        <v>1481</v>
      </c>
      <c r="C742" s="4" t="s">
        <v>1482</v>
      </c>
      <c r="D742" s="4">
        <v>380</v>
      </c>
      <c r="E742" s="4">
        <v>285</v>
      </c>
      <c r="F742" s="5">
        <f t="shared" si="11"/>
        <v>0.75</v>
      </c>
    </row>
    <row r="743" spans="1:6" x14ac:dyDescent="0.25">
      <c r="A743">
        <v>14</v>
      </c>
      <c r="B743" s="4" t="s">
        <v>1483</v>
      </c>
      <c r="C743" s="4" t="s">
        <v>1484</v>
      </c>
      <c r="D743" s="4">
        <v>78</v>
      </c>
      <c r="E743" s="7">
        <v>56.78</v>
      </c>
      <c r="F743" s="5">
        <f t="shared" si="11"/>
        <v>0.72794871794871796</v>
      </c>
    </row>
    <row r="744" spans="1:6" x14ac:dyDescent="0.25">
      <c r="B744" s="4" t="s">
        <v>1485</v>
      </c>
      <c r="C744" s="4" t="s">
        <v>1486</v>
      </c>
      <c r="D744" s="4">
        <v>150</v>
      </c>
      <c r="E744" s="7">
        <v>107.65</v>
      </c>
      <c r="F744" s="5">
        <f t="shared" si="11"/>
        <v>0.71766666666666667</v>
      </c>
    </row>
    <row r="745" spans="1:6" x14ac:dyDescent="0.25">
      <c r="A745">
        <v>452</v>
      </c>
      <c r="B745" s="4" t="s">
        <v>1487</v>
      </c>
      <c r="C745" s="4" t="s">
        <v>1488</v>
      </c>
      <c r="D745" s="4">
        <v>260.8</v>
      </c>
      <c r="E745" s="4">
        <v>185.95</v>
      </c>
      <c r="F745" s="5">
        <f t="shared" si="11"/>
        <v>0.71299846625766861</v>
      </c>
    </row>
    <row r="746" spans="1:6" x14ac:dyDescent="0.25">
      <c r="B746" s="4" t="s">
        <v>1489</v>
      </c>
      <c r="C746" s="4" t="s">
        <v>1490</v>
      </c>
      <c r="D746" s="4">
        <v>329</v>
      </c>
      <c r="E746" s="7">
        <v>231.62</v>
      </c>
      <c r="F746" s="5">
        <f t="shared" si="11"/>
        <v>0.70401215805471129</v>
      </c>
    </row>
    <row r="747" spans="1:6" x14ac:dyDescent="0.25">
      <c r="B747" s="4" t="s">
        <v>1491</v>
      </c>
      <c r="C747" s="4" t="s">
        <v>1492</v>
      </c>
      <c r="D747" s="4">
        <v>287</v>
      </c>
      <c r="E747" s="7">
        <v>202.05</v>
      </c>
      <c r="F747" s="5">
        <f t="shared" si="11"/>
        <v>0.70400696864111501</v>
      </c>
    </row>
    <row r="748" spans="1:6" x14ac:dyDescent="0.25">
      <c r="B748" s="4" t="s">
        <v>1493</v>
      </c>
      <c r="C748" s="4" t="s">
        <v>1494</v>
      </c>
      <c r="D748" s="4">
        <v>498</v>
      </c>
      <c r="E748" s="4">
        <v>348.6</v>
      </c>
      <c r="F748" s="5">
        <f t="shared" si="11"/>
        <v>0.70000000000000007</v>
      </c>
    </row>
    <row r="749" spans="1:6" x14ac:dyDescent="0.25">
      <c r="A749">
        <v>384</v>
      </c>
      <c r="B749" s="4" t="s">
        <v>1495</v>
      </c>
      <c r="C749" s="4" t="s">
        <v>1496</v>
      </c>
      <c r="D749" s="4">
        <v>473</v>
      </c>
      <c r="E749" s="4">
        <v>331.1</v>
      </c>
      <c r="F749" s="5">
        <f t="shared" si="11"/>
        <v>0.70000000000000007</v>
      </c>
    </row>
    <row r="750" spans="1:6" x14ac:dyDescent="0.25">
      <c r="B750" s="4" t="s">
        <v>1497</v>
      </c>
      <c r="C750" s="4" t="s">
        <v>1498</v>
      </c>
      <c r="D750" s="4">
        <v>500</v>
      </c>
      <c r="E750" s="4">
        <v>350</v>
      </c>
      <c r="F750" s="5">
        <f t="shared" si="11"/>
        <v>0.7</v>
      </c>
    </row>
    <row r="751" spans="1:6" x14ac:dyDescent="0.25">
      <c r="B751" s="4" t="s">
        <v>1499</v>
      </c>
      <c r="C751" s="4" t="s">
        <v>1500</v>
      </c>
      <c r="D751" s="4">
        <v>500</v>
      </c>
      <c r="E751" s="4">
        <v>350</v>
      </c>
      <c r="F751" s="5">
        <f t="shared" si="11"/>
        <v>0.7</v>
      </c>
    </row>
    <row r="752" spans="1:6" x14ac:dyDescent="0.25">
      <c r="B752" s="4" t="s">
        <v>1501</v>
      </c>
      <c r="C752" s="4" t="s">
        <v>1502</v>
      </c>
      <c r="D752" s="4">
        <v>472</v>
      </c>
      <c r="E752" s="4">
        <v>330.4</v>
      </c>
      <c r="F752" s="5">
        <f t="shared" si="11"/>
        <v>0.7</v>
      </c>
    </row>
    <row r="753" spans="1:6" x14ac:dyDescent="0.25">
      <c r="B753" s="4" t="s">
        <v>1503</v>
      </c>
      <c r="C753" s="4" t="s">
        <v>1504</v>
      </c>
      <c r="D753" s="4">
        <v>206</v>
      </c>
      <c r="E753" s="4">
        <v>144.19999999999999</v>
      </c>
      <c r="F753" s="5">
        <f t="shared" si="11"/>
        <v>0.7</v>
      </c>
    </row>
    <row r="754" spans="1:6" x14ac:dyDescent="0.25">
      <c r="B754" s="4" t="s">
        <v>1505</v>
      </c>
      <c r="C754" s="4" t="s">
        <v>1506</v>
      </c>
      <c r="D754" s="4">
        <v>100</v>
      </c>
      <c r="E754" s="4">
        <v>69.099999999999994</v>
      </c>
      <c r="F754" s="5">
        <f t="shared" si="11"/>
        <v>0.69099999999999995</v>
      </c>
    </row>
    <row r="755" spans="1:6" x14ac:dyDescent="0.25">
      <c r="B755" s="4" t="s">
        <v>1507</v>
      </c>
      <c r="C755" s="4" t="s">
        <v>1508</v>
      </c>
      <c r="D755" s="4">
        <v>290</v>
      </c>
      <c r="E755" s="7">
        <v>196.04</v>
      </c>
      <c r="F755" s="5">
        <f t="shared" si="11"/>
        <v>0.67599999999999993</v>
      </c>
    </row>
    <row r="756" spans="1:6" x14ac:dyDescent="0.25">
      <c r="A756">
        <v>148</v>
      </c>
      <c r="B756" s="4" t="s">
        <v>1509</v>
      </c>
      <c r="C756" s="4" t="s">
        <v>1510</v>
      </c>
      <c r="D756" s="4">
        <v>207.95</v>
      </c>
      <c r="E756" s="4">
        <v>140.16</v>
      </c>
      <c r="F756" s="5">
        <f t="shared" si="11"/>
        <v>0.67400817504207744</v>
      </c>
    </row>
    <row r="757" spans="1:6" x14ac:dyDescent="0.25">
      <c r="B757" s="4" t="s">
        <v>1511</v>
      </c>
      <c r="C757" s="4" t="s">
        <v>1512</v>
      </c>
      <c r="D757" s="4">
        <v>347.2</v>
      </c>
      <c r="E757" s="4">
        <v>226.59</v>
      </c>
      <c r="F757" s="5">
        <f t="shared" si="11"/>
        <v>0.65262096774193556</v>
      </c>
    </row>
    <row r="758" spans="1:6" x14ac:dyDescent="0.25">
      <c r="B758" s="4" t="s">
        <v>1513</v>
      </c>
      <c r="C758" s="4" t="s">
        <v>1514</v>
      </c>
      <c r="D758" s="4">
        <v>87.5</v>
      </c>
      <c r="E758" s="7">
        <v>55.74</v>
      </c>
      <c r="F758" s="5">
        <f t="shared" si="11"/>
        <v>0.6370285714285715</v>
      </c>
    </row>
    <row r="759" spans="1:6" x14ac:dyDescent="0.25">
      <c r="B759" s="4" t="s">
        <v>1515</v>
      </c>
      <c r="C759" s="4" t="s">
        <v>1516</v>
      </c>
      <c r="D759" s="4">
        <v>140</v>
      </c>
      <c r="E759" s="4">
        <v>88.2</v>
      </c>
      <c r="F759" s="5">
        <f t="shared" si="11"/>
        <v>0.63</v>
      </c>
    </row>
    <row r="760" spans="1:6" x14ac:dyDescent="0.25">
      <c r="B760" s="4" t="s">
        <v>1517</v>
      </c>
      <c r="C760" s="4" t="s">
        <v>1518</v>
      </c>
      <c r="D760" s="4">
        <v>121</v>
      </c>
      <c r="E760" s="7">
        <v>76.23</v>
      </c>
      <c r="F760" s="5">
        <f t="shared" si="11"/>
        <v>0.63</v>
      </c>
    </row>
    <row r="761" spans="1:6" x14ac:dyDescent="0.25">
      <c r="B761" s="4" t="s">
        <v>1519</v>
      </c>
      <c r="C761" s="4" t="s">
        <v>1520</v>
      </c>
      <c r="D761" s="4">
        <v>971</v>
      </c>
      <c r="E761" s="4">
        <v>592.30999999999995</v>
      </c>
      <c r="F761" s="5">
        <f t="shared" si="11"/>
        <v>0.61</v>
      </c>
    </row>
    <row r="762" spans="1:6" x14ac:dyDescent="0.25">
      <c r="B762" s="4" t="s">
        <v>1521</v>
      </c>
      <c r="C762" s="4" t="s">
        <v>1522</v>
      </c>
      <c r="D762" s="4">
        <v>102</v>
      </c>
      <c r="E762" s="4">
        <v>61.2</v>
      </c>
      <c r="F762" s="5">
        <f t="shared" si="11"/>
        <v>0.6</v>
      </c>
    </row>
    <row r="763" spans="1:6" x14ac:dyDescent="0.25">
      <c r="B763" s="4" t="s">
        <v>1523</v>
      </c>
      <c r="C763" s="4" t="s">
        <v>1524</v>
      </c>
      <c r="D763" s="4">
        <v>456</v>
      </c>
      <c r="E763" s="4">
        <v>271.94</v>
      </c>
      <c r="F763" s="5">
        <f t="shared" si="11"/>
        <v>0.59635964912280703</v>
      </c>
    </row>
    <row r="764" spans="1:6" x14ac:dyDescent="0.25">
      <c r="B764" s="4" t="s">
        <v>1525</v>
      </c>
      <c r="C764" s="4" t="s">
        <v>1526</v>
      </c>
      <c r="D764" s="4">
        <v>99</v>
      </c>
      <c r="E764" s="4">
        <v>58.68</v>
      </c>
      <c r="F764" s="5">
        <f t="shared" si="11"/>
        <v>0.59272727272727277</v>
      </c>
    </row>
    <row r="765" spans="1:6" x14ac:dyDescent="0.25">
      <c r="A765">
        <v>291</v>
      </c>
      <c r="B765" s="4" t="s">
        <v>1527</v>
      </c>
      <c r="C765" s="4" t="s">
        <v>1528</v>
      </c>
      <c r="D765" s="7">
        <v>230.45</v>
      </c>
      <c r="E765" s="4">
        <v>135.80000000000001</v>
      </c>
      <c r="F765" s="5">
        <f t="shared" si="11"/>
        <v>0.58928183987849869</v>
      </c>
    </row>
    <row r="766" spans="1:6" x14ac:dyDescent="0.25">
      <c r="B766" s="4" t="s">
        <v>1529</v>
      </c>
      <c r="C766" s="4" t="s">
        <v>1530</v>
      </c>
      <c r="D766" s="4">
        <v>51</v>
      </c>
      <c r="E766" s="7">
        <v>29.99</v>
      </c>
      <c r="F766" s="5">
        <f t="shared" si="11"/>
        <v>0.58803921568627449</v>
      </c>
    </row>
    <row r="767" spans="1:6" x14ac:dyDescent="0.25">
      <c r="B767" s="4" t="s">
        <v>1531</v>
      </c>
      <c r="C767" s="4" t="s">
        <v>1532</v>
      </c>
      <c r="D767" s="4">
        <v>532.70000000000005</v>
      </c>
      <c r="E767" s="4">
        <v>312.85000000000002</v>
      </c>
      <c r="F767" s="5">
        <f t="shared" si="11"/>
        <v>0.58729115825042233</v>
      </c>
    </row>
    <row r="768" spans="1:6" x14ac:dyDescent="0.25">
      <c r="B768" s="4" t="s">
        <v>1533</v>
      </c>
      <c r="C768" s="4" t="s">
        <v>1534</v>
      </c>
      <c r="D768" s="4">
        <v>84</v>
      </c>
      <c r="E768" s="4">
        <v>48.72</v>
      </c>
      <c r="F768" s="5">
        <f t="shared" si="11"/>
        <v>0.57999999999999996</v>
      </c>
    </row>
    <row r="769" spans="1:6" x14ac:dyDescent="0.25">
      <c r="B769" s="4" t="s">
        <v>1535</v>
      </c>
      <c r="C769" s="4" t="s">
        <v>1536</v>
      </c>
      <c r="D769" s="7">
        <v>720</v>
      </c>
      <c r="E769" s="4">
        <v>406.4</v>
      </c>
      <c r="F769" s="5">
        <f t="shared" si="11"/>
        <v>0.56444444444444442</v>
      </c>
    </row>
    <row r="770" spans="1:6" x14ac:dyDescent="0.25">
      <c r="B770" s="4" t="s">
        <v>1537</v>
      </c>
      <c r="C770" s="4" t="s">
        <v>1538</v>
      </c>
      <c r="D770" s="4">
        <v>25</v>
      </c>
      <c r="E770" s="4">
        <v>14.05</v>
      </c>
      <c r="F770" s="5">
        <f t="shared" ref="F770:F833" si="12">+IFERROR(E770/D770,0)</f>
        <v>0.56200000000000006</v>
      </c>
    </row>
    <row r="771" spans="1:6" x14ac:dyDescent="0.25">
      <c r="B771" s="4" t="s">
        <v>1539</v>
      </c>
      <c r="C771" s="4" t="s">
        <v>1540</v>
      </c>
      <c r="D771" s="4">
        <v>301</v>
      </c>
      <c r="E771" s="4">
        <v>166.1</v>
      </c>
      <c r="F771" s="5">
        <f t="shared" si="12"/>
        <v>0.55182724252491688</v>
      </c>
    </row>
    <row r="772" spans="1:6" x14ac:dyDescent="0.25">
      <c r="A772">
        <v>532</v>
      </c>
      <c r="B772" s="4" t="s">
        <v>1541</v>
      </c>
      <c r="C772" s="4" t="s">
        <v>1542</v>
      </c>
      <c r="D772" s="4">
        <v>101</v>
      </c>
      <c r="E772" s="7">
        <v>55.34</v>
      </c>
      <c r="F772" s="5">
        <f t="shared" si="12"/>
        <v>0.54792079207920796</v>
      </c>
    </row>
    <row r="773" spans="1:6" x14ac:dyDescent="0.25">
      <c r="B773" s="4" t="s">
        <v>1543</v>
      </c>
      <c r="C773" s="4" t="s">
        <v>1544</v>
      </c>
      <c r="D773" s="4">
        <v>101</v>
      </c>
      <c r="E773" s="4">
        <v>54.95</v>
      </c>
      <c r="F773" s="5">
        <f t="shared" si="12"/>
        <v>0.5440594059405941</v>
      </c>
    </row>
    <row r="774" spans="1:6" x14ac:dyDescent="0.25">
      <c r="B774" s="4" t="s">
        <v>1545</v>
      </c>
      <c r="C774" s="4" t="s">
        <v>1546</v>
      </c>
      <c r="D774" s="4">
        <v>31</v>
      </c>
      <c r="E774" s="7">
        <v>16.75</v>
      </c>
      <c r="F774" s="5">
        <f t="shared" si="12"/>
        <v>0.54032258064516125</v>
      </c>
    </row>
    <row r="775" spans="1:6" x14ac:dyDescent="0.25">
      <c r="B775" s="4" t="s">
        <v>1547</v>
      </c>
      <c r="C775" s="4" t="s">
        <v>1548</v>
      </c>
      <c r="D775" s="4">
        <v>463.1</v>
      </c>
      <c r="E775" s="4">
        <v>247.3</v>
      </c>
      <c r="F775" s="5">
        <f t="shared" si="12"/>
        <v>0.53400993305981426</v>
      </c>
    </row>
    <row r="776" spans="1:6" x14ac:dyDescent="0.25">
      <c r="B776" s="4" t="s">
        <v>1549</v>
      </c>
      <c r="C776" s="4" t="s">
        <v>1550</v>
      </c>
      <c r="D776" s="4">
        <v>1</v>
      </c>
      <c r="E776" s="4">
        <v>0.51</v>
      </c>
      <c r="F776" s="5">
        <f t="shared" si="12"/>
        <v>0.51</v>
      </c>
    </row>
    <row r="777" spans="1:6" x14ac:dyDescent="0.25">
      <c r="B777" s="4" t="s">
        <v>1551</v>
      </c>
      <c r="C777" s="4" t="s">
        <v>1552</v>
      </c>
      <c r="D777" s="4">
        <v>34</v>
      </c>
      <c r="E777" s="7">
        <v>17.309999999999999</v>
      </c>
      <c r="F777" s="5">
        <f t="shared" si="12"/>
        <v>0.50911764705882345</v>
      </c>
    </row>
    <row r="778" spans="1:6" x14ac:dyDescent="0.25">
      <c r="B778" s="4" t="s">
        <v>1553</v>
      </c>
      <c r="C778" s="4" t="s">
        <v>1554</v>
      </c>
      <c r="D778" s="4">
        <v>250</v>
      </c>
      <c r="E778" s="7">
        <v>126</v>
      </c>
      <c r="F778" s="5">
        <f t="shared" si="12"/>
        <v>0.504</v>
      </c>
    </row>
    <row r="779" spans="1:6" x14ac:dyDescent="0.25">
      <c r="B779" s="4" t="s">
        <v>1555</v>
      </c>
      <c r="C779" s="4" t="s">
        <v>1556</v>
      </c>
      <c r="D779" s="4">
        <v>4</v>
      </c>
      <c r="E779" s="4">
        <v>1.94</v>
      </c>
      <c r="F779" s="5">
        <f t="shared" si="12"/>
        <v>0.48499999999999999</v>
      </c>
    </row>
    <row r="780" spans="1:6" x14ac:dyDescent="0.25">
      <c r="B780" s="4" t="s">
        <v>1557</v>
      </c>
      <c r="C780" s="4" t="s">
        <v>1558</v>
      </c>
      <c r="D780" s="4">
        <v>470</v>
      </c>
      <c r="E780" s="4">
        <v>224.27</v>
      </c>
      <c r="F780" s="5">
        <f t="shared" si="12"/>
        <v>0.47717021276595745</v>
      </c>
    </row>
    <row r="781" spans="1:6" x14ac:dyDescent="0.25">
      <c r="B781" s="4" t="s">
        <v>1559</v>
      </c>
      <c r="C781" s="4" t="s">
        <v>1560</v>
      </c>
      <c r="D781" s="4">
        <v>248.8</v>
      </c>
      <c r="E781" s="4">
        <v>114.45</v>
      </c>
      <c r="F781" s="5">
        <f t="shared" si="12"/>
        <v>0.460008038585209</v>
      </c>
    </row>
    <row r="782" spans="1:6" x14ac:dyDescent="0.25">
      <c r="B782" s="4" t="s">
        <v>1561</v>
      </c>
      <c r="C782" s="4" t="s">
        <v>1562</v>
      </c>
      <c r="D782" s="4">
        <v>224</v>
      </c>
      <c r="E782" s="4">
        <v>100.8</v>
      </c>
      <c r="F782" s="5">
        <f t="shared" si="12"/>
        <v>0.45</v>
      </c>
    </row>
    <row r="783" spans="1:6" x14ac:dyDescent="0.25">
      <c r="B783" s="4" t="s">
        <v>1563</v>
      </c>
      <c r="C783" s="4" t="s">
        <v>1564</v>
      </c>
      <c r="D783" s="4">
        <v>47</v>
      </c>
      <c r="E783" s="4">
        <v>21.15</v>
      </c>
      <c r="F783" s="5">
        <f t="shared" si="12"/>
        <v>0.44999999999999996</v>
      </c>
    </row>
    <row r="784" spans="1:6" x14ac:dyDescent="0.25">
      <c r="B784" s="4" t="s">
        <v>1565</v>
      </c>
      <c r="C784" s="4" t="s">
        <v>1566</v>
      </c>
      <c r="D784" s="4">
        <v>119</v>
      </c>
      <c r="E784" s="4">
        <v>52.36</v>
      </c>
      <c r="F784" s="5">
        <f t="shared" si="12"/>
        <v>0.44</v>
      </c>
    </row>
    <row r="785" spans="1:7" x14ac:dyDescent="0.25">
      <c r="A785">
        <v>330</v>
      </c>
      <c r="B785" s="4" t="s">
        <v>1567</v>
      </c>
      <c r="C785" s="4" t="s">
        <v>1568</v>
      </c>
      <c r="D785" s="4">
        <v>389</v>
      </c>
      <c r="E785" s="7">
        <v>170.42</v>
      </c>
      <c r="F785" s="5">
        <f t="shared" si="12"/>
        <v>0.43809768637532132</v>
      </c>
      <c r="G785" t="e">
        <f>+VLOOKUP(B785,'[1]Hoja 1'!$B:$H,7,0)</f>
        <v>#N/A</v>
      </c>
    </row>
    <row r="786" spans="1:7" x14ac:dyDescent="0.25">
      <c r="B786" s="4" t="s">
        <v>1569</v>
      </c>
      <c r="C786" s="4" t="s">
        <v>1570</v>
      </c>
      <c r="D786" s="4">
        <v>228</v>
      </c>
      <c r="E786" s="4">
        <v>99.18</v>
      </c>
      <c r="F786" s="5">
        <f t="shared" si="12"/>
        <v>0.43500000000000005</v>
      </c>
    </row>
    <row r="787" spans="1:7" x14ac:dyDescent="0.25">
      <c r="B787" s="4" t="s">
        <v>1571</v>
      </c>
      <c r="C787" s="4" t="s">
        <v>1572</v>
      </c>
      <c r="D787" s="4">
        <v>133</v>
      </c>
      <c r="E787" s="7">
        <v>57.46</v>
      </c>
      <c r="F787" s="5">
        <f t="shared" si="12"/>
        <v>0.43203007518796993</v>
      </c>
    </row>
    <row r="788" spans="1:7" x14ac:dyDescent="0.25">
      <c r="B788" s="4" t="s">
        <v>1573</v>
      </c>
      <c r="C788" s="4" t="s">
        <v>1574</v>
      </c>
      <c r="D788" s="4">
        <v>354</v>
      </c>
      <c r="E788" s="4">
        <v>150.80000000000001</v>
      </c>
      <c r="F788" s="5">
        <f t="shared" si="12"/>
        <v>0.42598870056497179</v>
      </c>
    </row>
    <row r="789" spans="1:7" x14ac:dyDescent="0.25">
      <c r="B789" s="4" t="s">
        <v>1575</v>
      </c>
      <c r="C789" s="4" t="s">
        <v>1576</v>
      </c>
      <c r="D789" s="4">
        <v>500</v>
      </c>
      <c r="E789" s="4">
        <v>210.5</v>
      </c>
      <c r="F789" s="5">
        <f t="shared" si="12"/>
        <v>0.42099999999999999</v>
      </c>
    </row>
    <row r="790" spans="1:7" x14ac:dyDescent="0.25">
      <c r="A790">
        <v>44</v>
      </c>
      <c r="B790" s="4" t="s">
        <v>1577</v>
      </c>
      <c r="C790" s="4" t="s">
        <v>1578</v>
      </c>
      <c r="D790" s="4">
        <v>800</v>
      </c>
      <c r="E790" s="7">
        <v>336</v>
      </c>
      <c r="F790" s="5">
        <f t="shared" si="12"/>
        <v>0.42</v>
      </c>
    </row>
    <row r="791" spans="1:7" x14ac:dyDescent="0.25">
      <c r="A791">
        <v>329</v>
      </c>
      <c r="B791" s="4" t="s">
        <v>1579</v>
      </c>
      <c r="C791" s="4" t="s">
        <v>1580</v>
      </c>
      <c r="D791" s="4">
        <v>3606</v>
      </c>
      <c r="E791" s="4">
        <v>1496.49</v>
      </c>
      <c r="F791" s="5">
        <f t="shared" si="12"/>
        <v>0.41499999999999998</v>
      </c>
    </row>
    <row r="792" spans="1:7" x14ac:dyDescent="0.25">
      <c r="A792">
        <v>343</v>
      </c>
      <c r="B792" s="4" t="s">
        <v>1581</v>
      </c>
      <c r="C792" s="4" t="s">
        <v>1582</v>
      </c>
      <c r="D792" s="4">
        <v>635.29999999999995</v>
      </c>
      <c r="E792" s="4">
        <v>262.99</v>
      </c>
      <c r="F792" s="5">
        <f t="shared" si="12"/>
        <v>0.41396190776011338</v>
      </c>
    </row>
    <row r="793" spans="1:7" x14ac:dyDescent="0.25">
      <c r="B793" s="4" t="s">
        <v>1583</v>
      </c>
      <c r="C793" s="4" t="s">
        <v>1584</v>
      </c>
      <c r="D793" s="4">
        <v>34</v>
      </c>
      <c r="E793" s="7">
        <v>14.01</v>
      </c>
      <c r="F793" s="5">
        <f t="shared" si="12"/>
        <v>0.41205882352941176</v>
      </c>
    </row>
    <row r="794" spans="1:7" x14ac:dyDescent="0.25">
      <c r="B794" s="4" t="s">
        <v>1585</v>
      </c>
      <c r="C794" s="4" t="s">
        <v>1586</v>
      </c>
      <c r="D794" s="4">
        <v>117</v>
      </c>
      <c r="E794" s="7">
        <v>47.27</v>
      </c>
      <c r="F794" s="5">
        <f t="shared" si="12"/>
        <v>0.40401709401709407</v>
      </c>
    </row>
    <row r="795" spans="1:7" x14ac:dyDescent="0.25">
      <c r="A795">
        <v>491</v>
      </c>
      <c r="B795" s="4" t="s">
        <v>1587</v>
      </c>
      <c r="C795" s="4" t="s">
        <v>1588</v>
      </c>
      <c r="D795" s="4">
        <v>493</v>
      </c>
      <c r="E795" s="4">
        <v>197.2</v>
      </c>
      <c r="F795" s="5">
        <f t="shared" si="12"/>
        <v>0.39999999999999997</v>
      </c>
    </row>
    <row r="796" spans="1:7" x14ac:dyDescent="0.25">
      <c r="B796" s="4" t="s">
        <v>1589</v>
      </c>
      <c r="C796" s="4" t="s">
        <v>1590</v>
      </c>
      <c r="D796" s="4">
        <v>96</v>
      </c>
      <c r="E796" s="7">
        <v>38.4</v>
      </c>
      <c r="F796" s="5">
        <f t="shared" si="12"/>
        <v>0.39999999999999997</v>
      </c>
    </row>
    <row r="797" spans="1:7" x14ac:dyDescent="0.25">
      <c r="B797" s="4" t="s">
        <v>1591</v>
      </c>
      <c r="C797" s="4" t="s">
        <v>1592</v>
      </c>
      <c r="D797" s="4">
        <v>395</v>
      </c>
      <c r="E797" s="7">
        <v>155.63999999999999</v>
      </c>
      <c r="F797" s="5">
        <f t="shared" si="12"/>
        <v>0.39402531645569616</v>
      </c>
    </row>
    <row r="798" spans="1:7" x14ac:dyDescent="0.25">
      <c r="A798">
        <v>251</v>
      </c>
      <c r="B798" s="4" t="s">
        <v>1593</v>
      </c>
      <c r="C798" s="4" t="s">
        <v>1594</v>
      </c>
      <c r="D798" s="4">
        <v>56</v>
      </c>
      <c r="E798" s="4">
        <v>21.62</v>
      </c>
      <c r="F798" s="5">
        <f t="shared" si="12"/>
        <v>0.38607142857142857</v>
      </c>
    </row>
    <row r="799" spans="1:7" x14ac:dyDescent="0.25">
      <c r="B799" s="4" t="s">
        <v>1595</v>
      </c>
      <c r="C799" s="4" t="s">
        <v>1596</v>
      </c>
      <c r="D799" s="4">
        <v>141</v>
      </c>
      <c r="E799" s="4">
        <v>54</v>
      </c>
      <c r="F799" s="5">
        <f t="shared" si="12"/>
        <v>0.38297872340425532</v>
      </c>
    </row>
    <row r="800" spans="1:7" x14ac:dyDescent="0.25">
      <c r="B800" s="4" t="s">
        <v>1597</v>
      </c>
      <c r="C800" s="4" t="s">
        <v>1598</v>
      </c>
      <c r="D800" s="4">
        <v>487</v>
      </c>
      <c r="E800" s="4">
        <v>185.06</v>
      </c>
      <c r="F800" s="5">
        <f t="shared" si="12"/>
        <v>0.38</v>
      </c>
    </row>
    <row r="801" spans="1:6" x14ac:dyDescent="0.25">
      <c r="B801" s="4" t="s">
        <v>1599</v>
      </c>
      <c r="C801" s="4" t="s">
        <v>1600</v>
      </c>
      <c r="D801" s="4">
        <v>385</v>
      </c>
      <c r="E801" s="7">
        <v>146.30000000000001</v>
      </c>
      <c r="F801" s="5">
        <f t="shared" si="12"/>
        <v>0.38</v>
      </c>
    </row>
    <row r="802" spans="1:6" x14ac:dyDescent="0.25">
      <c r="B802" s="4" t="s">
        <v>1601</v>
      </c>
      <c r="C802" s="4" t="s">
        <v>1602</v>
      </c>
      <c r="D802" s="4">
        <v>484</v>
      </c>
      <c r="E802" s="4">
        <v>182.6</v>
      </c>
      <c r="F802" s="5">
        <f t="shared" si="12"/>
        <v>0.37727272727272726</v>
      </c>
    </row>
    <row r="803" spans="1:6" x14ac:dyDescent="0.25">
      <c r="B803" s="4" t="s">
        <v>1603</v>
      </c>
      <c r="C803" s="4" t="s">
        <v>1604</v>
      </c>
      <c r="D803" s="4">
        <v>227</v>
      </c>
      <c r="E803" s="7">
        <v>85.58</v>
      </c>
      <c r="F803" s="5">
        <f t="shared" si="12"/>
        <v>0.3770044052863436</v>
      </c>
    </row>
    <row r="804" spans="1:6" x14ac:dyDescent="0.25">
      <c r="B804" s="4" t="s">
        <v>1605</v>
      </c>
      <c r="C804" s="4" t="s">
        <v>1606</v>
      </c>
      <c r="D804" s="4">
        <v>83</v>
      </c>
      <c r="E804" s="7">
        <v>30.46</v>
      </c>
      <c r="F804" s="5">
        <f t="shared" si="12"/>
        <v>0.36698795180722893</v>
      </c>
    </row>
    <row r="805" spans="1:6" x14ac:dyDescent="0.25">
      <c r="A805">
        <v>210</v>
      </c>
      <c r="B805" s="4" t="s">
        <v>1607</v>
      </c>
      <c r="C805" s="4" t="s">
        <v>1608</v>
      </c>
      <c r="D805" s="4">
        <v>20</v>
      </c>
      <c r="E805" s="4">
        <v>7.12</v>
      </c>
      <c r="F805" s="5">
        <f t="shared" si="12"/>
        <v>0.35599999999999998</v>
      </c>
    </row>
    <row r="806" spans="1:6" x14ac:dyDescent="0.25">
      <c r="A806">
        <v>128</v>
      </c>
      <c r="B806" s="4" t="s">
        <v>1609</v>
      </c>
      <c r="C806" s="4" t="s">
        <v>1610</v>
      </c>
      <c r="D806" s="4">
        <v>253</v>
      </c>
      <c r="E806" s="7">
        <v>89.87</v>
      </c>
      <c r="F806" s="5">
        <f t="shared" si="12"/>
        <v>0.35521739130434782</v>
      </c>
    </row>
    <row r="807" spans="1:6" x14ac:dyDescent="0.25">
      <c r="B807" s="4" t="s">
        <v>1611</v>
      </c>
      <c r="C807" s="4" t="s">
        <v>1612</v>
      </c>
      <c r="D807" s="4">
        <v>71</v>
      </c>
      <c r="E807" s="7">
        <v>24.71</v>
      </c>
      <c r="F807" s="5">
        <f t="shared" si="12"/>
        <v>0.34802816901408451</v>
      </c>
    </row>
    <row r="808" spans="1:6" x14ac:dyDescent="0.25">
      <c r="A808">
        <v>83</v>
      </c>
      <c r="B808" s="4" t="s">
        <v>1613</v>
      </c>
      <c r="C808" s="4" t="s">
        <v>1614</v>
      </c>
      <c r="D808" s="4">
        <v>107</v>
      </c>
      <c r="E808" s="4">
        <v>36.89</v>
      </c>
      <c r="F808" s="5">
        <f t="shared" si="12"/>
        <v>0.34476635514018694</v>
      </c>
    </row>
    <row r="809" spans="1:6" x14ac:dyDescent="0.25">
      <c r="A809">
        <v>348</v>
      </c>
      <c r="B809" s="4" t="s">
        <v>1615</v>
      </c>
      <c r="C809" s="4" t="s">
        <v>1616</v>
      </c>
      <c r="D809" s="4">
        <v>463</v>
      </c>
      <c r="E809" s="4">
        <v>159.30000000000001</v>
      </c>
      <c r="F809" s="5">
        <f t="shared" si="12"/>
        <v>0.34406047516198707</v>
      </c>
    </row>
    <row r="810" spans="1:6" x14ac:dyDescent="0.25">
      <c r="B810" s="4" t="s">
        <v>1617</v>
      </c>
      <c r="C810" s="4" t="s">
        <v>1618</v>
      </c>
      <c r="D810" s="7">
        <v>422</v>
      </c>
      <c r="E810" s="4">
        <v>143.47999999999999</v>
      </c>
      <c r="F810" s="5">
        <f t="shared" si="12"/>
        <v>0.33999999999999997</v>
      </c>
    </row>
    <row r="811" spans="1:6" x14ac:dyDescent="0.25">
      <c r="B811" s="4" t="s">
        <v>1619</v>
      </c>
      <c r="C811" s="4" t="s">
        <v>1620</v>
      </c>
      <c r="D811" s="4">
        <v>948</v>
      </c>
      <c r="E811" s="7">
        <v>303.36</v>
      </c>
      <c r="F811" s="5">
        <f t="shared" si="12"/>
        <v>0.32</v>
      </c>
    </row>
    <row r="812" spans="1:6" x14ac:dyDescent="0.25">
      <c r="B812" s="4" t="s">
        <v>1621</v>
      </c>
      <c r="C812" s="4" t="s">
        <v>1622</v>
      </c>
      <c r="D812" s="7">
        <v>34</v>
      </c>
      <c r="E812" s="4">
        <v>10.85</v>
      </c>
      <c r="F812" s="5">
        <f t="shared" si="12"/>
        <v>0.31911764705882351</v>
      </c>
    </row>
    <row r="813" spans="1:6" x14ac:dyDescent="0.25">
      <c r="B813" s="4" t="s">
        <v>1623</v>
      </c>
      <c r="C813" s="4" t="s">
        <v>1624</v>
      </c>
      <c r="D813" s="4">
        <v>483</v>
      </c>
      <c r="E813" s="4">
        <v>152.63</v>
      </c>
      <c r="F813" s="5">
        <f t="shared" si="12"/>
        <v>0.31600414078674949</v>
      </c>
    </row>
    <row r="814" spans="1:6" x14ac:dyDescent="0.25">
      <c r="A814">
        <v>238</v>
      </c>
      <c r="B814" s="4" t="s">
        <v>1625</v>
      </c>
      <c r="C814" s="4" t="s">
        <v>1626</v>
      </c>
      <c r="D814" s="4">
        <v>1389</v>
      </c>
      <c r="E814" s="4">
        <v>420.87</v>
      </c>
      <c r="F814" s="5">
        <f t="shared" si="12"/>
        <v>0.30300215982721385</v>
      </c>
    </row>
    <row r="815" spans="1:6" x14ac:dyDescent="0.25">
      <c r="B815" s="4" t="s">
        <v>1627</v>
      </c>
      <c r="C815" s="4" t="s">
        <v>1628</v>
      </c>
      <c r="D815" s="4">
        <v>171</v>
      </c>
      <c r="E815" s="7">
        <v>51.81</v>
      </c>
      <c r="F815" s="5">
        <f t="shared" si="12"/>
        <v>0.30298245614035091</v>
      </c>
    </row>
    <row r="816" spans="1:6" x14ac:dyDescent="0.25">
      <c r="B816" s="4" t="s">
        <v>1629</v>
      </c>
      <c r="C816" s="4" t="s">
        <v>1630</v>
      </c>
      <c r="D816" s="4">
        <v>970</v>
      </c>
      <c r="E816" s="4">
        <v>291</v>
      </c>
      <c r="F816" s="5">
        <f t="shared" si="12"/>
        <v>0.3</v>
      </c>
    </row>
    <row r="817" spans="1:6" x14ac:dyDescent="0.25">
      <c r="B817" s="4" t="s">
        <v>1631</v>
      </c>
      <c r="C817" s="4" t="s">
        <v>1632</v>
      </c>
      <c r="D817" s="4">
        <v>27</v>
      </c>
      <c r="E817" s="4">
        <v>8.1</v>
      </c>
      <c r="F817" s="5">
        <f t="shared" si="12"/>
        <v>0.3</v>
      </c>
    </row>
    <row r="818" spans="1:6" x14ac:dyDescent="0.25">
      <c r="A818">
        <v>473</v>
      </c>
      <c r="B818" s="4" t="s">
        <v>1633</v>
      </c>
      <c r="C818" s="4" t="s">
        <v>1634</v>
      </c>
      <c r="D818" s="4">
        <v>262</v>
      </c>
      <c r="E818" s="4">
        <v>78.34</v>
      </c>
      <c r="F818" s="5">
        <f t="shared" si="12"/>
        <v>0.29900763358778626</v>
      </c>
    </row>
    <row r="819" spans="1:6" x14ac:dyDescent="0.25">
      <c r="A819">
        <v>69</v>
      </c>
      <c r="B819" s="4" t="s">
        <v>1635</v>
      </c>
      <c r="C819" s="4" t="s">
        <v>1636</v>
      </c>
      <c r="D819" s="4">
        <v>1014</v>
      </c>
      <c r="E819" s="4">
        <v>302.25</v>
      </c>
      <c r="F819" s="5">
        <f t="shared" si="12"/>
        <v>0.29807692307692307</v>
      </c>
    </row>
    <row r="820" spans="1:6" x14ac:dyDescent="0.25">
      <c r="B820" s="4" t="s">
        <v>1637</v>
      </c>
      <c r="C820" s="4" t="s">
        <v>1638</v>
      </c>
      <c r="D820" s="4">
        <v>1512</v>
      </c>
      <c r="E820" s="4">
        <v>440.07</v>
      </c>
      <c r="F820" s="5">
        <f t="shared" si="12"/>
        <v>0.29105158730158731</v>
      </c>
    </row>
    <row r="821" spans="1:6" x14ac:dyDescent="0.25">
      <c r="A821">
        <v>296</v>
      </c>
      <c r="B821" s="4" t="s">
        <v>1639</v>
      </c>
      <c r="C821" s="4" t="s">
        <v>1640</v>
      </c>
      <c r="D821" s="4">
        <v>160</v>
      </c>
      <c r="E821" s="4">
        <v>46.23</v>
      </c>
      <c r="F821" s="5">
        <f t="shared" si="12"/>
        <v>0.28893749999999996</v>
      </c>
    </row>
    <row r="822" spans="1:6" x14ac:dyDescent="0.25">
      <c r="A822">
        <v>518</v>
      </c>
      <c r="B822" s="4" t="s">
        <v>1641</v>
      </c>
      <c r="C822" s="4" t="s">
        <v>1642</v>
      </c>
      <c r="D822" s="4">
        <v>18</v>
      </c>
      <c r="E822" s="4">
        <v>5.0999999999999996</v>
      </c>
      <c r="F822" s="5">
        <f t="shared" si="12"/>
        <v>0.28333333333333333</v>
      </c>
    </row>
    <row r="823" spans="1:6" x14ac:dyDescent="0.25">
      <c r="B823" s="4" t="s">
        <v>1643</v>
      </c>
      <c r="C823" s="4" t="s">
        <v>1644</v>
      </c>
      <c r="D823" s="4">
        <v>18</v>
      </c>
      <c r="E823" s="4">
        <v>5.09</v>
      </c>
      <c r="F823" s="5">
        <f t="shared" si="12"/>
        <v>0.28277777777777779</v>
      </c>
    </row>
    <row r="824" spans="1:6" x14ac:dyDescent="0.25">
      <c r="B824" s="4" t="s">
        <v>1645</v>
      </c>
      <c r="C824" s="4" t="s">
        <v>1646</v>
      </c>
      <c r="D824" s="4">
        <v>18</v>
      </c>
      <c r="E824" s="4">
        <v>5.09</v>
      </c>
      <c r="F824" s="5">
        <f t="shared" si="12"/>
        <v>0.28277777777777779</v>
      </c>
    </row>
    <row r="825" spans="1:6" x14ac:dyDescent="0.25">
      <c r="B825" s="4" t="s">
        <v>1647</v>
      </c>
      <c r="C825" s="4" t="s">
        <v>1648</v>
      </c>
      <c r="D825" s="7">
        <v>825</v>
      </c>
      <c r="E825" s="4">
        <v>229.36</v>
      </c>
      <c r="F825" s="5">
        <f t="shared" si="12"/>
        <v>0.27801212121212121</v>
      </c>
    </row>
    <row r="826" spans="1:6" x14ac:dyDescent="0.25">
      <c r="B826" s="4" t="s">
        <v>1649</v>
      </c>
      <c r="C826" s="4" t="s">
        <v>1650</v>
      </c>
      <c r="D826" s="4">
        <v>1249</v>
      </c>
      <c r="E826" s="4">
        <v>345.04</v>
      </c>
      <c r="F826" s="5">
        <f t="shared" si="12"/>
        <v>0.27625300240192158</v>
      </c>
    </row>
    <row r="827" spans="1:6" x14ac:dyDescent="0.25">
      <c r="A827">
        <v>560</v>
      </c>
      <c r="B827" s="4" t="s">
        <v>1651</v>
      </c>
      <c r="C827" s="4" t="s">
        <v>1652</v>
      </c>
      <c r="D827" s="4">
        <v>200</v>
      </c>
      <c r="E827" s="4">
        <v>54.4</v>
      </c>
      <c r="F827" s="5">
        <f t="shared" si="12"/>
        <v>0.27200000000000002</v>
      </c>
    </row>
    <row r="828" spans="1:6" x14ac:dyDescent="0.25">
      <c r="A828">
        <v>277</v>
      </c>
      <c r="B828" s="4" t="s">
        <v>1653</v>
      </c>
      <c r="C828" s="4" t="s">
        <v>1654</v>
      </c>
      <c r="D828" s="4">
        <v>108.5</v>
      </c>
      <c r="E828" s="4">
        <v>29.51</v>
      </c>
      <c r="F828" s="5">
        <f t="shared" si="12"/>
        <v>0.27198156682027652</v>
      </c>
    </row>
    <row r="829" spans="1:6" x14ac:dyDescent="0.25">
      <c r="B829" s="4" t="s">
        <v>1655</v>
      </c>
      <c r="C829" s="4" t="s">
        <v>1656</v>
      </c>
      <c r="D829" s="4">
        <v>1055</v>
      </c>
      <c r="E829" s="4">
        <v>285.85000000000002</v>
      </c>
      <c r="F829" s="5">
        <f t="shared" si="12"/>
        <v>0.27094786729857823</v>
      </c>
    </row>
    <row r="830" spans="1:6" x14ac:dyDescent="0.25">
      <c r="B830" s="4" t="s">
        <v>1657</v>
      </c>
      <c r="C830" s="4" t="s">
        <v>1658</v>
      </c>
      <c r="D830" s="4">
        <v>938</v>
      </c>
      <c r="E830" s="7">
        <v>253.26</v>
      </c>
      <c r="F830" s="5">
        <f t="shared" si="12"/>
        <v>0.27</v>
      </c>
    </row>
    <row r="831" spans="1:6" x14ac:dyDescent="0.25">
      <c r="A831">
        <v>233</v>
      </c>
      <c r="B831" s="4" t="s">
        <v>1659</v>
      </c>
      <c r="C831" s="4" t="s">
        <v>1660</v>
      </c>
      <c r="D831" s="4">
        <v>922</v>
      </c>
      <c r="E831" s="4">
        <v>248.94</v>
      </c>
      <c r="F831" s="5">
        <f t="shared" si="12"/>
        <v>0.27</v>
      </c>
    </row>
    <row r="832" spans="1:6" x14ac:dyDescent="0.25">
      <c r="B832" s="4" t="s">
        <v>1661</v>
      </c>
      <c r="C832" s="4" t="s">
        <v>1662</v>
      </c>
      <c r="D832" s="4">
        <v>790</v>
      </c>
      <c r="E832" s="4">
        <v>213.3</v>
      </c>
      <c r="F832" s="5">
        <f t="shared" si="12"/>
        <v>0.27</v>
      </c>
    </row>
    <row r="833" spans="1:7" x14ac:dyDescent="0.25">
      <c r="B833" s="4" t="s">
        <v>1663</v>
      </c>
      <c r="C833" s="4" t="s">
        <v>1664</v>
      </c>
      <c r="D833" s="4">
        <v>372</v>
      </c>
      <c r="E833" s="7">
        <v>100.44</v>
      </c>
      <c r="F833" s="5">
        <f t="shared" si="12"/>
        <v>0.27</v>
      </c>
    </row>
    <row r="834" spans="1:7" x14ac:dyDescent="0.25">
      <c r="A834">
        <v>457</v>
      </c>
      <c r="B834" s="4" t="s">
        <v>1665</v>
      </c>
      <c r="C834" s="4" t="s">
        <v>1666</v>
      </c>
      <c r="D834" s="4">
        <v>530</v>
      </c>
      <c r="E834" s="4">
        <v>143.1</v>
      </c>
      <c r="F834" s="5">
        <f t="shared" ref="F834:F897" si="13">+IFERROR(E834/D834,0)</f>
        <v>0.26999999999999996</v>
      </c>
      <c r="G834" t="e">
        <f>+VLOOKUP(B834,'[1]Hoja 1'!$B:$H,7,0)</f>
        <v>#N/A</v>
      </c>
    </row>
    <row r="835" spans="1:7" x14ac:dyDescent="0.25">
      <c r="B835" s="4" t="s">
        <v>1667</v>
      </c>
      <c r="C835" s="4" t="s">
        <v>1668</v>
      </c>
      <c r="D835" s="7">
        <v>275</v>
      </c>
      <c r="E835" s="4">
        <v>72.75</v>
      </c>
      <c r="F835" s="5">
        <f t="shared" si="13"/>
        <v>0.26454545454545453</v>
      </c>
    </row>
    <row r="836" spans="1:7" x14ac:dyDescent="0.25">
      <c r="B836" s="4" t="s">
        <v>1669</v>
      </c>
      <c r="C836" s="4" t="s">
        <v>1670</v>
      </c>
      <c r="D836" s="4">
        <v>2094</v>
      </c>
      <c r="E836" s="4">
        <v>544.44000000000005</v>
      </c>
      <c r="F836" s="5">
        <f t="shared" si="13"/>
        <v>0.26</v>
      </c>
    </row>
    <row r="837" spans="1:7" x14ac:dyDescent="0.25">
      <c r="B837" s="4" t="s">
        <v>1671</v>
      </c>
      <c r="C837" s="4" t="s">
        <v>1672</v>
      </c>
      <c r="D837" s="4">
        <v>994</v>
      </c>
      <c r="E837" s="4">
        <v>256.43</v>
      </c>
      <c r="F837" s="5">
        <f t="shared" si="13"/>
        <v>0.2579778672032193</v>
      </c>
    </row>
    <row r="838" spans="1:7" x14ac:dyDescent="0.25">
      <c r="A838">
        <v>322</v>
      </c>
      <c r="B838" s="4" t="s">
        <v>1673</v>
      </c>
      <c r="C838" s="4" t="s">
        <v>1674</v>
      </c>
      <c r="D838" s="4">
        <v>198</v>
      </c>
      <c r="E838" s="4">
        <v>50.49</v>
      </c>
      <c r="F838" s="5">
        <f t="shared" si="13"/>
        <v>0.255</v>
      </c>
    </row>
    <row r="839" spans="1:7" x14ac:dyDescent="0.25">
      <c r="A839">
        <v>333</v>
      </c>
      <c r="B839" s="4" t="s">
        <v>1675</v>
      </c>
      <c r="C839" s="4" t="s">
        <v>1676</v>
      </c>
      <c r="D839" s="4">
        <v>87</v>
      </c>
      <c r="E839" s="7">
        <v>22.03</v>
      </c>
      <c r="F839" s="5">
        <f t="shared" si="13"/>
        <v>0.25321839080459774</v>
      </c>
    </row>
    <row r="840" spans="1:7" x14ac:dyDescent="0.25">
      <c r="A840">
        <v>212</v>
      </c>
      <c r="B840" s="4" t="s">
        <v>1677</v>
      </c>
      <c r="C840" s="4" t="s">
        <v>1678</v>
      </c>
      <c r="D840" s="4">
        <v>139</v>
      </c>
      <c r="E840" s="7">
        <v>35.17</v>
      </c>
      <c r="F840" s="5">
        <f t="shared" si="13"/>
        <v>0.25302158273381298</v>
      </c>
    </row>
    <row r="841" spans="1:7" x14ac:dyDescent="0.25">
      <c r="B841" s="4" t="s">
        <v>1679</v>
      </c>
      <c r="C841" s="4" t="s">
        <v>1680</v>
      </c>
      <c r="D841" s="4">
        <v>374</v>
      </c>
      <c r="E841" s="7">
        <v>94.62</v>
      </c>
      <c r="F841" s="5">
        <f t="shared" si="13"/>
        <v>0.25299465240641711</v>
      </c>
    </row>
    <row r="842" spans="1:7" x14ac:dyDescent="0.25">
      <c r="B842" s="4" t="s">
        <v>1681</v>
      </c>
      <c r="C842" s="4" t="s">
        <v>1682</v>
      </c>
      <c r="D842" s="4">
        <v>68</v>
      </c>
      <c r="E842" s="4">
        <v>17.18</v>
      </c>
      <c r="F842" s="5">
        <f t="shared" si="13"/>
        <v>0.25264705882352939</v>
      </c>
    </row>
    <row r="843" spans="1:7" x14ac:dyDescent="0.25">
      <c r="B843" s="4" t="s">
        <v>1683</v>
      </c>
      <c r="C843" s="4" t="s">
        <v>1684</v>
      </c>
      <c r="D843" s="7">
        <v>200</v>
      </c>
      <c r="E843" s="4">
        <v>48.2</v>
      </c>
      <c r="F843" s="5">
        <f t="shared" si="13"/>
        <v>0.24100000000000002</v>
      </c>
    </row>
    <row r="844" spans="1:7" x14ac:dyDescent="0.25">
      <c r="B844" s="4" t="s">
        <v>1685</v>
      </c>
      <c r="C844" s="4" t="s">
        <v>1686</v>
      </c>
      <c r="D844" s="4">
        <v>118.55</v>
      </c>
      <c r="E844" s="4">
        <v>27.27</v>
      </c>
      <c r="F844" s="5">
        <f t="shared" si="13"/>
        <v>0.2300295234078448</v>
      </c>
    </row>
    <row r="845" spans="1:7" x14ac:dyDescent="0.25">
      <c r="B845" s="4" t="s">
        <v>1687</v>
      </c>
      <c r="C845" s="4" t="s">
        <v>1688</v>
      </c>
      <c r="D845" s="4">
        <v>312</v>
      </c>
      <c r="E845" s="7">
        <v>71.760000000000005</v>
      </c>
      <c r="F845" s="5">
        <f t="shared" si="13"/>
        <v>0.23</v>
      </c>
    </row>
    <row r="846" spans="1:7" x14ac:dyDescent="0.25">
      <c r="A846">
        <v>77</v>
      </c>
      <c r="B846" s="4" t="s">
        <v>1689</v>
      </c>
      <c r="C846" s="4" t="s">
        <v>1690</v>
      </c>
      <c r="D846" s="4">
        <v>940</v>
      </c>
      <c r="E846" s="4">
        <v>216.2</v>
      </c>
      <c r="F846" s="5">
        <f t="shared" si="13"/>
        <v>0.22999999999999998</v>
      </c>
    </row>
    <row r="847" spans="1:7" x14ac:dyDescent="0.25">
      <c r="B847" s="4" t="s">
        <v>1691</v>
      </c>
      <c r="C847" s="4" t="s">
        <v>1692</v>
      </c>
      <c r="D847" s="7">
        <v>117</v>
      </c>
      <c r="E847" s="4">
        <v>26.6</v>
      </c>
      <c r="F847" s="5">
        <f t="shared" si="13"/>
        <v>0.22735042735042738</v>
      </c>
    </row>
    <row r="848" spans="1:7" x14ac:dyDescent="0.25">
      <c r="B848" s="4" t="s">
        <v>1693</v>
      </c>
      <c r="C848" s="4" t="s">
        <v>1694</v>
      </c>
      <c r="D848" s="4">
        <v>170</v>
      </c>
      <c r="E848" s="7">
        <v>38.25</v>
      </c>
      <c r="F848" s="5">
        <f t="shared" si="13"/>
        <v>0.22500000000000001</v>
      </c>
    </row>
    <row r="849" spans="1:7" x14ac:dyDescent="0.25">
      <c r="B849" s="4" t="s">
        <v>1695</v>
      </c>
      <c r="C849" s="4" t="s">
        <v>1696</v>
      </c>
      <c r="D849" s="4">
        <v>766</v>
      </c>
      <c r="E849" s="7">
        <v>160.07</v>
      </c>
      <c r="F849" s="5">
        <f t="shared" si="13"/>
        <v>0.20896866840731071</v>
      </c>
    </row>
    <row r="850" spans="1:7" x14ac:dyDescent="0.25">
      <c r="B850" s="4" t="s">
        <v>1697</v>
      </c>
      <c r="C850" s="4" t="s">
        <v>1698</v>
      </c>
      <c r="D850" s="4">
        <v>160</v>
      </c>
      <c r="E850" s="4">
        <v>33.119999999999997</v>
      </c>
      <c r="F850" s="5">
        <f t="shared" si="13"/>
        <v>0.20699999999999999</v>
      </c>
    </row>
    <row r="851" spans="1:7" x14ac:dyDescent="0.25">
      <c r="B851" s="4" t="s">
        <v>1699</v>
      </c>
      <c r="C851" s="4" t="s">
        <v>1700</v>
      </c>
      <c r="D851" s="4">
        <v>1396</v>
      </c>
      <c r="E851" s="4">
        <v>287.18</v>
      </c>
      <c r="F851" s="5">
        <f t="shared" si="13"/>
        <v>0.20571633237822351</v>
      </c>
    </row>
    <row r="852" spans="1:7" x14ac:dyDescent="0.25">
      <c r="A852">
        <v>120</v>
      </c>
      <c r="B852" s="4" t="s">
        <v>1701</v>
      </c>
      <c r="C852" s="4" t="s">
        <v>1702</v>
      </c>
      <c r="D852" s="4">
        <v>90</v>
      </c>
      <c r="E852" s="4">
        <v>18</v>
      </c>
      <c r="F852" s="5">
        <f t="shared" si="13"/>
        <v>0.2</v>
      </c>
    </row>
    <row r="853" spans="1:7" x14ac:dyDescent="0.25">
      <c r="B853" s="4" t="s">
        <v>1703</v>
      </c>
      <c r="C853" s="4" t="s">
        <v>1704</v>
      </c>
      <c r="D853" s="4">
        <v>494</v>
      </c>
      <c r="E853" s="7">
        <v>98.8</v>
      </c>
      <c r="F853" s="5">
        <f t="shared" si="13"/>
        <v>0.19999999999999998</v>
      </c>
    </row>
    <row r="854" spans="1:7" x14ac:dyDescent="0.25">
      <c r="B854" s="4" t="s">
        <v>1705</v>
      </c>
      <c r="C854" s="4" t="s">
        <v>1706</v>
      </c>
      <c r="D854" s="4">
        <v>92</v>
      </c>
      <c r="E854" s="7">
        <v>18.399999999999999</v>
      </c>
      <c r="F854" s="5">
        <f t="shared" si="13"/>
        <v>0.19999999999999998</v>
      </c>
    </row>
    <row r="855" spans="1:7" x14ac:dyDescent="0.25">
      <c r="A855">
        <v>203</v>
      </c>
      <c r="B855" s="4" t="s">
        <v>1707</v>
      </c>
      <c r="C855" s="4" t="s">
        <v>1708</v>
      </c>
      <c r="D855" s="4">
        <v>550</v>
      </c>
      <c r="E855" s="4">
        <v>106.33</v>
      </c>
      <c r="F855" s="5">
        <f t="shared" si="13"/>
        <v>0.19332727272727274</v>
      </c>
    </row>
    <row r="856" spans="1:7" x14ac:dyDescent="0.25">
      <c r="B856" s="4" t="s">
        <v>1709</v>
      </c>
      <c r="C856" s="4" t="s">
        <v>1710</v>
      </c>
      <c r="D856" s="4">
        <v>1137</v>
      </c>
      <c r="E856" s="7">
        <v>219.44</v>
      </c>
      <c r="F856" s="5">
        <f t="shared" si="13"/>
        <v>0.19299912049252418</v>
      </c>
    </row>
    <row r="857" spans="1:7" x14ac:dyDescent="0.25">
      <c r="A857">
        <v>151</v>
      </c>
      <c r="B857" s="4" t="s">
        <v>1711</v>
      </c>
      <c r="C857" s="4" t="s">
        <v>1712</v>
      </c>
      <c r="D857" s="4">
        <v>65</v>
      </c>
      <c r="E857" s="7">
        <v>12.09</v>
      </c>
      <c r="F857" s="5">
        <f t="shared" si="13"/>
        <v>0.186</v>
      </c>
    </row>
    <row r="858" spans="1:7" x14ac:dyDescent="0.25">
      <c r="B858" s="4" t="s">
        <v>1713</v>
      </c>
      <c r="C858" s="4" t="s">
        <v>1714</v>
      </c>
      <c r="D858" s="4">
        <v>31</v>
      </c>
      <c r="E858" s="4">
        <v>5.61</v>
      </c>
      <c r="F858" s="5">
        <f t="shared" si="13"/>
        <v>0.18096774193548387</v>
      </c>
    </row>
    <row r="859" spans="1:7" x14ac:dyDescent="0.25">
      <c r="A859">
        <v>21</v>
      </c>
      <c r="B859" s="4" t="s">
        <v>1715</v>
      </c>
      <c r="C859" s="4" t="s">
        <v>1716</v>
      </c>
      <c r="D859" s="4">
        <v>801.6</v>
      </c>
      <c r="E859" s="4">
        <v>144.29</v>
      </c>
      <c r="F859" s="5">
        <f t="shared" si="13"/>
        <v>0.18000249500998003</v>
      </c>
      <c r="G859" t="e">
        <f>+VLOOKUP(B859,'[1]Hoja 1'!$B:$H,7,0)</f>
        <v>#N/A</v>
      </c>
    </row>
    <row r="860" spans="1:7" x14ac:dyDescent="0.25">
      <c r="A860">
        <v>525</v>
      </c>
      <c r="B860" s="4" t="s">
        <v>1717</v>
      </c>
      <c r="C860" s="4" t="s">
        <v>1718</v>
      </c>
      <c r="D860" s="4">
        <v>828</v>
      </c>
      <c r="E860" s="7">
        <v>149.04</v>
      </c>
      <c r="F860" s="5">
        <f t="shared" si="13"/>
        <v>0.18</v>
      </c>
      <c r="G860" t="s">
        <v>1719</v>
      </c>
    </row>
    <row r="861" spans="1:7" x14ac:dyDescent="0.25">
      <c r="B861" s="4" t="s">
        <v>1720</v>
      </c>
      <c r="C861" s="4" t="s">
        <v>1721</v>
      </c>
      <c r="D861" s="4">
        <v>1100</v>
      </c>
      <c r="E861" s="4">
        <v>196.9</v>
      </c>
      <c r="F861" s="5">
        <f t="shared" si="13"/>
        <v>0.17899999999999999</v>
      </c>
    </row>
    <row r="862" spans="1:7" x14ac:dyDescent="0.25">
      <c r="A862">
        <v>158</v>
      </c>
      <c r="B862" s="4" t="s">
        <v>1722</v>
      </c>
      <c r="C862" s="4" t="s">
        <v>1723</v>
      </c>
      <c r="D862" s="4">
        <v>480</v>
      </c>
      <c r="E862" s="4">
        <v>85.92</v>
      </c>
      <c r="F862" s="5">
        <f t="shared" si="13"/>
        <v>0.17899999999999999</v>
      </c>
    </row>
    <row r="863" spans="1:7" x14ac:dyDescent="0.25">
      <c r="B863" s="4" t="s">
        <v>1724</v>
      </c>
      <c r="C863" s="4" t="s">
        <v>1725</v>
      </c>
      <c r="D863" s="4">
        <v>270</v>
      </c>
      <c r="E863" s="4">
        <v>48.33</v>
      </c>
      <c r="F863" s="5">
        <f t="shared" si="13"/>
        <v>0.17899999999999999</v>
      </c>
    </row>
    <row r="864" spans="1:7" x14ac:dyDescent="0.25">
      <c r="A864">
        <v>356</v>
      </c>
      <c r="B864" s="4" t="s">
        <v>1726</v>
      </c>
      <c r="C864" s="4" t="s">
        <v>1727</v>
      </c>
      <c r="D864" s="4">
        <v>100</v>
      </c>
      <c r="E864" s="4">
        <v>17.899999999999999</v>
      </c>
      <c r="F864" s="5">
        <f t="shared" si="13"/>
        <v>0.17899999999999999</v>
      </c>
    </row>
    <row r="865" spans="1:7" x14ac:dyDescent="0.25">
      <c r="B865" s="4" t="s">
        <v>1728</v>
      </c>
      <c r="C865" s="4" t="s">
        <v>1729</v>
      </c>
      <c r="D865" s="4">
        <v>137</v>
      </c>
      <c r="E865" s="4">
        <v>24.52</v>
      </c>
      <c r="F865" s="5">
        <f t="shared" si="13"/>
        <v>0.17897810218978102</v>
      </c>
    </row>
    <row r="866" spans="1:7" x14ac:dyDescent="0.25">
      <c r="A866">
        <v>362</v>
      </c>
      <c r="B866" s="4" t="s">
        <v>1730</v>
      </c>
      <c r="C866" s="4" t="s">
        <v>1731</v>
      </c>
      <c r="D866" s="4">
        <v>302.2</v>
      </c>
      <c r="E866" s="4">
        <v>54.02</v>
      </c>
      <c r="F866" s="5">
        <f t="shared" si="13"/>
        <v>0.17875579086697552</v>
      </c>
    </row>
    <row r="867" spans="1:7" x14ac:dyDescent="0.25">
      <c r="B867" s="4" t="s">
        <v>1732</v>
      </c>
      <c r="C867" s="4" t="s">
        <v>1733</v>
      </c>
      <c r="D867" s="4">
        <v>500</v>
      </c>
      <c r="E867" s="7">
        <v>88</v>
      </c>
      <c r="F867" s="5">
        <f t="shared" si="13"/>
        <v>0.17599999999999999</v>
      </c>
    </row>
    <row r="868" spans="1:7" x14ac:dyDescent="0.25">
      <c r="B868" s="4" t="s">
        <v>1734</v>
      </c>
      <c r="C868" s="4" t="s">
        <v>1735</v>
      </c>
      <c r="D868" s="4">
        <v>987</v>
      </c>
      <c r="E868" s="4">
        <v>172.72</v>
      </c>
      <c r="F868" s="5">
        <f t="shared" si="13"/>
        <v>0.17499493414387032</v>
      </c>
    </row>
    <row r="869" spans="1:7" x14ac:dyDescent="0.25">
      <c r="A869">
        <v>241</v>
      </c>
      <c r="B869" s="4" t="s">
        <v>1736</v>
      </c>
      <c r="C869" s="4" t="s">
        <v>1737</v>
      </c>
      <c r="D869" s="4">
        <v>327</v>
      </c>
      <c r="E869" s="4">
        <v>56.78</v>
      </c>
      <c r="F869" s="5">
        <f t="shared" si="13"/>
        <v>0.17363914373088685</v>
      </c>
    </row>
    <row r="870" spans="1:7" x14ac:dyDescent="0.25">
      <c r="B870" s="4" t="s">
        <v>1738</v>
      </c>
      <c r="C870" s="4" t="s">
        <v>1739</v>
      </c>
      <c r="D870" s="7">
        <v>800</v>
      </c>
      <c r="E870" s="4">
        <v>127.93</v>
      </c>
      <c r="F870" s="5">
        <f t="shared" si="13"/>
        <v>0.15991250000000001</v>
      </c>
    </row>
    <row r="871" spans="1:7" x14ac:dyDescent="0.25">
      <c r="B871" s="4" t="s">
        <v>1740</v>
      </c>
      <c r="C871" s="4" t="s">
        <v>1741</v>
      </c>
      <c r="D871" s="4">
        <v>372</v>
      </c>
      <c r="E871" s="4">
        <v>56.78</v>
      </c>
      <c r="F871" s="5">
        <f t="shared" si="13"/>
        <v>0.15263440860215055</v>
      </c>
    </row>
    <row r="872" spans="1:7" x14ac:dyDescent="0.25">
      <c r="A872">
        <v>162</v>
      </c>
      <c r="B872" s="4" t="s">
        <v>1742</v>
      </c>
      <c r="C872" s="4" t="s">
        <v>1743</v>
      </c>
      <c r="D872" s="7">
        <v>2429</v>
      </c>
      <c r="E872" s="4">
        <v>364.35</v>
      </c>
      <c r="F872" s="5">
        <f t="shared" si="13"/>
        <v>0.15000000000000002</v>
      </c>
      <c r="G872" t="e">
        <f>+VLOOKUP(B872,'[1]Hoja 1'!$B:$H,7,0)</f>
        <v>#N/A</v>
      </c>
    </row>
    <row r="873" spans="1:7" x14ac:dyDescent="0.25">
      <c r="A873">
        <v>82</v>
      </c>
      <c r="B873" s="4" t="s">
        <v>1744</v>
      </c>
      <c r="C873" s="4" t="s">
        <v>1745</v>
      </c>
      <c r="D873" s="7">
        <v>1802</v>
      </c>
      <c r="E873" s="4">
        <v>270.3</v>
      </c>
      <c r="F873" s="5">
        <f t="shared" si="13"/>
        <v>0.15</v>
      </c>
    </row>
    <row r="874" spans="1:7" x14ac:dyDescent="0.25">
      <c r="B874" s="4" t="s">
        <v>1746</v>
      </c>
      <c r="C874" s="4" t="s">
        <v>1747</v>
      </c>
      <c r="D874" s="4">
        <v>266</v>
      </c>
      <c r="E874" s="4">
        <v>39.9</v>
      </c>
      <c r="F874" s="5">
        <f t="shared" si="13"/>
        <v>0.15</v>
      </c>
    </row>
    <row r="875" spans="1:7" x14ac:dyDescent="0.25">
      <c r="B875" s="4" t="s">
        <v>1748</v>
      </c>
      <c r="C875" s="4" t="s">
        <v>1749</v>
      </c>
      <c r="D875" s="4">
        <v>232</v>
      </c>
      <c r="E875" s="4">
        <v>34.799999999999997</v>
      </c>
      <c r="F875" s="5">
        <f t="shared" si="13"/>
        <v>0.15</v>
      </c>
    </row>
    <row r="876" spans="1:7" x14ac:dyDescent="0.25">
      <c r="B876" s="4" t="s">
        <v>1750</v>
      </c>
      <c r="C876" s="4" t="s">
        <v>1751</v>
      </c>
      <c r="D876" s="4">
        <v>198</v>
      </c>
      <c r="E876" s="4">
        <v>29.7</v>
      </c>
      <c r="F876" s="5">
        <f t="shared" si="13"/>
        <v>0.15</v>
      </c>
    </row>
    <row r="877" spans="1:7" x14ac:dyDescent="0.25">
      <c r="B877" s="4" t="s">
        <v>1752</v>
      </c>
      <c r="C877" s="4" t="s">
        <v>1753</v>
      </c>
      <c r="D877" s="4">
        <v>118</v>
      </c>
      <c r="E877" s="4">
        <v>17.7</v>
      </c>
      <c r="F877" s="5">
        <f t="shared" si="13"/>
        <v>0.15</v>
      </c>
    </row>
    <row r="878" spans="1:7" x14ac:dyDescent="0.25">
      <c r="A878">
        <v>205</v>
      </c>
      <c r="B878" s="4" t="s">
        <v>1754</v>
      </c>
      <c r="C878" s="4" t="s">
        <v>1755</v>
      </c>
      <c r="D878" s="7">
        <v>83</v>
      </c>
      <c r="E878" s="4">
        <v>12.45</v>
      </c>
      <c r="F878" s="5">
        <f t="shared" si="13"/>
        <v>0.15</v>
      </c>
    </row>
    <row r="879" spans="1:7" x14ac:dyDescent="0.25">
      <c r="B879" s="4" t="s">
        <v>1756</v>
      </c>
      <c r="C879" s="4" t="s">
        <v>1757</v>
      </c>
      <c r="D879" s="4">
        <v>40</v>
      </c>
      <c r="E879" s="4">
        <v>6</v>
      </c>
      <c r="F879" s="5">
        <f t="shared" si="13"/>
        <v>0.15</v>
      </c>
    </row>
    <row r="880" spans="1:7" x14ac:dyDescent="0.25">
      <c r="B880" s="4" t="s">
        <v>1758</v>
      </c>
      <c r="C880" s="4" t="s">
        <v>1759</v>
      </c>
      <c r="D880" s="4">
        <v>33</v>
      </c>
      <c r="E880" s="4">
        <v>4.95</v>
      </c>
      <c r="F880" s="5">
        <f t="shared" si="13"/>
        <v>0.15</v>
      </c>
    </row>
    <row r="881" spans="1:7" x14ac:dyDescent="0.25">
      <c r="B881" s="4" t="s">
        <v>1760</v>
      </c>
      <c r="C881" s="4" t="s">
        <v>1761</v>
      </c>
      <c r="D881" s="4">
        <v>32</v>
      </c>
      <c r="E881" s="4">
        <v>4.74</v>
      </c>
      <c r="F881" s="5">
        <f t="shared" si="13"/>
        <v>0.14812500000000001</v>
      </c>
      <c r="G881" t="e">
        <f>+VLOOKUP(B881,'[1]Hoja 1'!$B:$H,7,0)</f>
        <v>#N/A</v>
      </c>
    </row>
    <row r="882" spans="1:7" x14ac:dyDescent="0.25">
      <c r="A882">
        <v>460</v>
      </c>
      <c r="B882" s="4" t="s">
        <v>1762</v>
      </c>
      <c r="C882" s="4" t="s">
        <v>1763</v>
      </c>
      <c r="D882" s="4">
        <v>50</v>
      </c>
      <c r="E882" s="7">
        <v>7.4</v>
      </c>
      <c r="F882" s="5">
        <f t="shared" si="13"/>
        <v>0.14800000000000002</v>
      </c>
    </row>
    <row r="883" spans="1:7" x14ac:dyDescent="0.25">
      <c r="B883" s="4" t="s">
        <v>1764</v>
      </c>
      <c r="C883" s="4" t="s">
        <v>1765</v>
      </c>
      <c r="D883" s="4">
        <v>38</v>
      </c>
      <c r="E883" s="4">
        <v>5.62</v>
      </c>
      <c r="F883" s="5">
        <f t="shared" si="13"/>
        <v>0.14789473684210527</v>
      </c>
    </row>
    <row r="884" spans="1:7" x14ac:dyDescent="0.25">
      <c r="A884">
        <v>149</v>
      </c>
      <c r="B884" s="4" t="s">
        <v>1766</v>
      </c>
      <c r="C884" s="4" t="s">
        <v>1767</v>
      </c>
      <c r="D884" s="4">
        <v>28</v>
      </c>
      <c r="E884" s="4">
        <v>4.1399999999999997</v>
      </c>
      <c r="F884" s="5">
        <f t="shared" si="13"/>
        <v>0.14785714285714285</v>
      </c>
    </row>
    <row r="885" spans="1:7" x14ac:dyDescent="0.25">
      <c r="B885" s="4" t="s">
        <v>1768</v>
      </c>
      <c r="C885" s="4" t="s">
        <v>1769</v>
      </c>
      <c r="D885" s="4">
        <v>1496</v>
      </c>
      <c r="E885" s="7">
        <v>217.86</v>
      </c>
      <c r="F885" s="5">
        <f t="shared" si="13"/>
        <v>0.14562834224598931</v>
      </c>
    </row>
    <row r="886" spans="1:7" x14ac:dyDescent="0.25">
      <c r="B886" s="4" t="s">
        <v>1770</v>
      </c>
      <c r="C886" s="4" t="s">
        <v>1771</v>
      </c>
      <c r="D886" s="4">
        <v>278</v>
      </c>
      <c r="E886" s="4">
        <v>40.31</v>
      </c>
      <c r="F886" s="5">
        <f t="shared" si="13"/>
        <v>0.14500000000000002</v>
      </c>
    </row>
    <row r="887" spans="1:7" x14ac:dyDescent="0.25">
      <c r="A887">
        <v>444</v>
      </c>
      <c r="B887" s="4" t="s">
        <v>1772</v>
      </c>
      <c r="C887" s="4" t="s">
        <v>1773</v>
      </c>
      <c r="D887" s="4">
        <v>236</v>
      </c>
      <c r="E887" s="4">
        <v>33.28</v>
      </c>
      <c r="F887" s="5">
        <f t="shared" si="13"/>
        <v>0.14101694915254237</v>
      </c>
    </row>
    <row r="888" spans="1:7" x14ac:dyDescent="0.25">
      <c r="B888" s="4" t="s">
        <v>1774</v>
      </c>
      <c r="C888" s="4" t="s">
        <v>1775</v>
      </c>
      <c r="D888" s="4">
        <v>100</v>
      </c>
      <c r="E888" s="4">
        <v>14</v>
      </c>
      <c r="F888" s="5">
        <f t="shared" si="13"/>
        <v>0.14000000000000001</v>
      </c>
    </row>
    <row r="889" spans="1:7" x14ac:dyDescent="0.25">
      <c r="B889" s="4" t="s">
        <v>1776</v>
      </c>
      <c r="C889" s="4" t="s">
        <v>1777</v>
      </c>
      <c r="D889" s="4">
        <v>400</v>
      </c>
      <c r="E889" s="7">
        <v>55.6</v>
      </c>
      <c r="F889" s="5">
        <f t="shared" si="13"/>
        <v>0.13900000000000001</v>
      </c>
    </row>
    <row r="890" spans="1:7" x14ac:dyDescent="0.25">
      <c r="A890">
        <v>499</v>
      </c>
      <c r="B890" s="4" t="s">
        <v>1778</v>
      </c>
      <c r="C890" s="4" t="s">
        <v>1779</v>
      </c>
      <c r="D890" s="4">
        <v>232</v>
      </c>
      <c r="E890" s="4">
        <v>30.16</v>
      </c>
      <c r="F890" s="5">
        <f t="shared" si="13"/>
        <v>0.13</v>
      </c>
    </row>
    <row r="891" spans="1:7" x14ac:dyDescent="0.25">
      <c r="B891" s="4" t="s">
        <v>1780</v>
      </c>
      <c r="C891" s="4" t="s">
        <v>1781</v>
      </c>
      <c r="D891" s="4">
        <v>180.5</v>
      </c>
      <c r="E891" s="4">
        <v>23.18</v>
      </c>
      <c r="F891" s="5">
        <f t="shared" si="13"/>
        <v>0.12842105263157894</v>
      </c>
    </row>
    <row r="892" spans="1:7" x14ac:dyDescent="0.25">
      <c r="A892">
        <v>310</v>
      </c>
      <c r="B892" s="4" t="s">
        <v>1782</v>
      </c>
      <c r="C892" s="4" t="s">
        <v>1783</v>
      </c>
      <c r="D892" s="4">
        <v>238.5</v>
      </c>
      <c r="E892" s="4">
        <v>30.04</v>
      </c>
      <c r="F892" s="5">
        <f t="shared" si="13"/>
        <v>0.1259538784067086</v>
      </c>
    </row>
    <row r="893" spans="1:7" x14ac:dyDescent="0.25">
      <c r="A893">
        <v>543</v>
      </c>
      <c r="B893" s="4" t="s">
        <v>1784</v>
      </c>
      <c r="C893" s="4" t="s">
        <v>1785</v>
      </c>
      <c r="D893" s="7">
        <v>451</v>
      </c>
      <c r="E893" s="4">
        <v>56.46</v>
      </c>
      <c r="F893" s="5">
        <f t="shared" si="13"/>
        <v>0.12518847006651884</v>
      </c>
    </row>
    <row r="894" spans="1:7" x14ac:dyDescent="0.25">
      <c r="B894" s="4" t="s">
        <v>1786</v>
      </c>
      <c r="C894" s="4" t="s">
        <v>1787</v>
      </c>
      <c r="D894" s="4">
        <v>300</v>
      </c>
      <c r="E894" s="4">
        <v>37.5</v>
      </c>
      <c r="F894" s="5">
        <f t="shared" si="13"/>
        <v>0.125</v>
      </c>
      <c r="G894" t="e">
        <f>+VLOOKUP(B894,'[1]Hoja 1'!$B:$H,7,0)</f>
        <v>#N/A</v>
      </c>
    </row>
    <row r="895" spans="1:7" x14ac:dyDescent="0.25">
      <c r="B895" s="4" t="s">
        <v>1788</v>
      </c>
      <c r="C895" s="4" t="s">
        <v>1789</v>
      </c>
      <c r="D895" s="7">
        <v>83</v>
      </c>
      <c r="E895" s="7">
        <v>10.050000000000001</v>
      </c>
      <c r="F895" s="5">
        <f t="shared" si="13"/>
        <v>0.12108433734939759</v>
      </c>
    </row>
    <row r="896" spans="1:7" x14ac:dyDescent="0.25">
      <c r="B896" s="4" t="s">
        <v>1790</v>
      </c>
      <c r="C896" s="4" t="s">
        <v>1791</v>
      </c>
      <c r="D896" s="4">
        <v>504</v>
      </c>
      <c r="E896" s="4">
        <v>60.48</v>
      </c>
      <c r="F896" s="5">
        <f t="shared" si="13"/>
        <v>0.12</v>
      </c>
    </row>
    <row r="897" spans="1:7" x14ac:dyDescent="0.25">
      <c r="B897" s="4" t="s">
        <v>1792</v>
      </c>
      <c r="C897" s="4" t="s">
        <v>1793</v>
      </c>
      <c r="D897" s="4">
        <v>4069</v>
      </c>
      <c r="E897" s="4">
        <v>481.76</v>
      </c>
      <c r="F897" s="5">
        <f t="shared" si="13"/>
        <v>0.11839764069796019</v>
      </c>
    </row>
    <row r="898" spans="1:7" x14ac:dyDescent="0.25">
      <c r="A898">
        <v>459</v>
      </c>
      <c r="B898" s="4" t="s">
        <v>1794</v>
      </c>
      <c r="C898" s="4" t="s">
        <v>1795</v>
      </c>
      <c r="D898" s="4">
        <v>291</v>
      </c>
      <c r="E898" s="4">
        <v>34.39</v>
      </c>
      <c r="F898" s="5">
        <f t="shared" ref="F898:F961" si="14">+IFERROR(E898/D898,0)</f>
        <v>0.11817869415807561</v>
      </c>
    </row>
    <row r="899" spans="1:7" x14ac:dyDescent="0.25">
      <c r="A899">
        <v>351</v>
      </c>
      <c r="B899" s="4" t="s">
        <v>1796</v>
      </c>
      <c r="C899" s="4" t="s">
        <v>1797</v>
      </c>
      <c r="D899" s="4">
        <v>800</v>
      </c>
      <c r="E899" s="4">
        <v>88.8</v>
      </c>
      <c r="F899" s="5">
        <f t="shared" si="14"/>
        <v>0.111</v>
      </c>
    </row>
    <row r="900" spans="1:7" x14ac:dyDescent="0.25">
      <c r="B900" s="4" t="s">
        <v>1798</v>
      </c>
      <c r="C900" s="4" t="s">
        <v>1799</v>
      </c>
      <c r="D900" s="4">
        <v>1053</v>
      </c>
      <c r="E900" s="4">
        <v>115.74</v>
      </c>
      <c r="F900" s="5">
        <f t="shared" si="14"/>
        <v>0.10991452991452991</v>
      </c>
    </row>
    <row r="901" spans="1:7" x14ac:dyDescent="0.25">
      <c r="B901" s="4" t="s">
        <v>1800</v>
      </c>
      <c r="C901" s="4" t="s">
        <v>1801</v>
      </c>
      <c r="D901" s="4">
        <v>310</v>
      </c>
      <c r="E901" s="4">
        <v>33.47</v>
      </c>
      <c r="F901" s="5">
        <f t="shared" si="14"/>
        <v>0.10796774193548386</v>
      </c>
    </row>
    <row r="902" spans="1:7" x14ac:dyDescent="0.25">
      <c r="B902" s="4" t="s">
        <v>1802</v>
      </c>
      <c r="C902" s="4" t="s">
        <v>1803</v>
      </c>
      <c r="D902" s="4">
        <v>183.5</v>
      </c>
      <c r="E902" s="4">
        <v>19.27</v>
      </c>
      <c r="F902" s="5">
        <f t="shared" si="14"/>
        <v>0.10501362397820163</v>
      </c>
    </row>
    <row r="903" spans="1:7" x14ac:dyDescent="0.25">
      <c r="A903">
        <v>157</v>
      </c>
      <c r="B903" s="4" t="s">
        <v>1804</v>
      </c>
      <c r="C903" s="4" t="s">
        <v>1805</v>
      </c>
      <c r="D903" s="4">
        <v>333.5</v>
      </c>
      <c r="E903" s="4">
        <v>35.020000000000003</v>
      </c>
      <c r="F903" s="5">
        <f t="shared" si="14"/>
        <v>0.10500749625187407</v>
      </c>
      <c r="G903" t="e">
        <f>+VLOOKUP(B903,'[1]Hoja 1'!$B:$H,7,0)</f>
        <v>#N/A</v>
      </c>
    </row>
    <row r="904" spans="1:7" x14ac:dyDescent="0.25">
      <c r="A904">
        <v>25</v>
      </c>
      <c r="B904" s="4" t="s">
        <v>1806</v>
      </c>
      <c r="C904" s="4" t="s">
        <v>1807</v>
      </c>
      <c r="D904" s="4">
        <v>335.5</v>
      </c>
      <c r="E904" s="4">
        <v>35.229999999999997</v>
      </c>
      <c r="F904" s="5">
        <f t="shared" si="14"/>
        <v>0.1050074515648286</v>
      </c>
    </row>
    <row r="905" spans="1:7" x14ac:dyDescent="0.25">
      <c r="B905" s="4" t="s">
        <v>1808</v>
      </c>
      <c r="C905" s="4" t="s">
        <v>1809</v>
      </c>
      <c r="D905" s="4">
        <v>750</v>
      </c>
      <c r="E905" s="4">
        <v>78.75</v>
      </c>
      <c r="F905" s="5">
        <f t="shared" si="14"/>
        <v>0.105</v>
      </c>
    </row>
    <row r="906" spans="1:7" x14ac:dyDescent="0.25">
      <c r="B906" s="4" t="s">
        <v>1810</v>
      </c>
      <c r="C906" s="4" t="s">
        <v>1811</v>
      </c>
      <c r="D906" s="4">
        <v>200</v>
      </c>
      <c r="E906" s="4">
        <v>21</v>
      </c>
      <c r="F906" s="5">
        <f t="shared" si="14"/>
        <v>0.105</v>
      </c>
    </row>
    <row r="907" spans="1:7" x14ac:dyDescent="0.25">
      <c r="A907">
        <v>154</v>
      </c>
      <c r="B907" s="4" t="s">
        <v>1812</v>
      </c>
      <c r="C907" s="4" t="s">
        <v>1813</v>
      </c>
      <c r="D907" s="4">
        <v>827</v>
      </c>
      <c r="E907" s="4">
        <v>86.83</v>
      </c>
      <c r="F907" s="5">
        <f t="shared" si="14"/>
        <v>0.10499395405078597</v>
      </c>
    </row>
    <row r="908" spans="1:7" x14ac:dyDescent="0.25">
      <c r="B908" s="4" t="s">
        <v>1814</v>
      </c>
      <c r="C908" s="4" t="s">
        <v>1815</v>
      </c>
      <c r="D908" s="4">
        <v>193.75</v>
      </c>
      <c r="E908" s="4">
        <v>20.34</v>
      </c>
      <c r="F908" s="5">
        <f t="shared" si="14"/>
        <v>0.10498064516129033</v>
      </c>
    </row>
    <row r="909" spans="1:7" x14ac:dyDescent="0.25">
      <c r="B909" s="4" t="s">
        <v>1816</v>
      </c>
      <c r="C909" s="4" t="s">
        <v>1817</v>
      </c>
      <c r="D909" s="4">
        <v>603</v>
      </c>
      <c r="E909" s="4">
        <v>60.35</v>
      </c>
      <c r="F909" s="5">
        <f t="shared" si="14"/>
        <v>0.10008291873963517</v>
      </c>
    </row>
    <row r="910" spans="1:7" x14ac:dyDescent="0.25">
      <c r="B910" s="4" t="s">
        <v>1818</v>
      </c>
      <c r="C910" s="4" t="s">
        <v>1819</v>
      </c>
      <c r="D910" s="7">
        <v>168</v>
      </c>
      <c r="E910" s="4">
        <v>16.8</v>
      </c>
      <c r="F910" s="5">
        <f t="shared" si="14"/>
        <v>0.1</v>
      </c>
    </row>
    <row r="911" spans="1:7" x14ac:dyDescent="0.25">
      <c r="A911">
        <v>324</v>
      </c>
      <c r="B911" s="4" t="s">
        <v>1820</v>
      </c>
      <c r="C911" s="4" t="s">
        <v>1821</v>
      </c>
      <c r="D911" s="4">
        <v>11</v>
      </c>
      <c r="E911" s="7">
        <v>1.1000000000000001</v>
      </c>
      <c r="F911" s="5">
        <f t="shared" si="14"/>
        <v>0.1</v>
      </c>
    </row>
    <row r="912" spans="1:7" x14ac:dyDescent="0.25">
      <c r="B912" s="4" t="s">
        <v>1822</v>
      </c>
      <c r="C912" s="4" t="s">
        <v>1823</v>
      </c>
      <c r="D912" s="7">
        <v>414</v>
      </c>
      <c r="E912" s="4">
        <v>41.4</v>
      </c>
      <c r="F912" s="5">
        <f t="shared" si="14"/>
        <v>9.9999999999999992E-2</v>
      </c>
    </row>
    <row r="913" spans="1:7" x14ac:dyDescent="0.25">
      <c r="B913" s="4" t="s">
        <v>1824</v>
      </c>
      <c r="C913" s="4" t="s">
        <v>1825</v>
      </c>
      <c r="D913" s="4">
        <v>10301</v>
      </c>
      <c r="E913" s="4">
        <v>1019.8</v>
      </c>
      <c r="F913" s="5">
        <f t="shared" si="14"/>
        <v>9.9000097077953597E-2</v>
      </c>
    </row>
    <row r="914" spans="1:7" x14ac:dyDescent="0.25">
      <c r="B914" s="4" t="s">
        <v>1826</v>
      </c>
      <c r="C914" s="4" t="s">
        <v>1827</v>
      </c>
      <c r="D914" s="4">
        <v>45</v>
      </c>
      <c r="E914" s="4">
        <v>4.32</v>
      </c>
      <c r="F914" s="5">
        <f t="shared" si="14"/>
        <v>9.6000000000000002E-2</v>
      </c>
    </row>
    <row r="915" spans="1:7" x14ac:dyDescent="0.25">
      <c r="B915" s="4" t="s">
        <v>1828</v>
      </c>
      <c r="C915" s="4" t="s">
        <v>1829</v>
      </c>
      <c r="D915" s="4">
        <v>870</v>
      </c>
      <c r="E915" s="4">
        <v>81.78</v>
      </c>
      <c r="F915" s="5">
        <f t="shared" si="14"/>
        <v>9.4E-2</v>
      </c>
    </row>
    <row r="916" spans="1:7" x14ac:dyDescent="0.25">
      <c r="A916">
        <v>336</v>
      </c>
      <c r="B916" s="4" t="s">
        <v>1830</v>
      </c>
      <c r="C916" s="4" t="s">
        <v>1831</v>
      </c>
      <c r="D916" s="4">
        <v>693</v>
      </c>
      <c r="E916" s="4">
        <v>63.76</v>
      </c>
      <c r="F916" s="5">
        <f t="shared" si="14"/>
        <v>9.2005772005772007E-2</v>
      </c>
      <c r="G916" t="s">
        <v>1832</v>
      </c>
    </row>
    <row r="917" spans="1:7" x14ac:dyDescent="0.25">
      <c r="B917" s="4" t="s">
        <v>1833</v>
      </c>
      <c r="C917" s="4" t="s">
        <v>1834</v>
      </c>
      <c r="D917" s="4">
        <v>854</v>
      </c>
      <c r="E917" s="4">
        <v>76.86</v>
      </c>
      <c r="F917" s="5">
        <f t="shared" si="14"/>
        <v>0.09</v>
      </c>
    </row>
    <row r="918" spans="1:7" x14ac:dyDescent="0.25">
      <c r="A918">
        <v>235</v>
      </c>
      <c r="B918" s="4" t="s">
        <v>1835</v>
      </c>
      <c r="C918" s="4" t="s">
        <v>1836</v>
      </c>
      <c r="D918" s="4">
        <v>523</v>
      </c>
      <c r="E918" s="4">
        <v>47.07</v>
      </c>
      <c r="F918" s="5">
        <f t="shared" si="14"/>
        <v>0.09</v>
      </c>
    </row>
    <row r="919" spans="1:7" x14ac:dyDescent="0.25">
      <c r="A919">
        <v>475</v>
      </c>
      <c r="B919" s="4" t="s">
        <v>1837</v>
      </c>
      <c r="C919" s="4" t="s">
        <v>1838</v>
      </c>
      <c r="D919" s="4">
        <v>505</v>
      </c>
      <c r="E919" s="4">
        <v>42.98</v>
      </c>
      <c r="F919" s="5">
        <f t="shared" si="14"/>
        <v>8.5108910891089101E-2</v>
      </c>
    </row>
    <row r="920" spans="1:7" x14ac:dyDescent="0.25">
      <c r="A920">
        <v>380</v>
      </c>
      <c r="B920" s="4" t="s">
        <v>1839</v>
      </c>
      <c r="C920" s="4" t="s">
        <v>1840</v>
      </c>
      <c r="D920" s="4">
        <v>51</v>
      </c>
      <c r="E920" s="4">
        <v>4.28</v>
      </c>
      <c r="F920" s="5">
        <f t="shared" si="14"/>
        <v>8.3921568627450982E-2</v>
      </c>
    </row>
    <row r="921" spans="1:7" x14ac:dyDescent="0.25">
      <c r="B921" s="4" t="s">
        <v>1841</v>
      </c>
      <c r="C921" s="4" t="s">
        <v>1842</v>
      </c>
      <c r="D921" s="4">
        <v>51</v>
      </c>
      <c r="E921" s="4">
        <v>4.28</v>
      </c>
      <c r="F921" s="5">
        <f t="shared" si="14"/>
        <v>8.3921568627450982E-2</v>
      </c>
    </row>
    <row r="922" spans="1:7" x14ac:dyDescent="0.25">
      <c r="B922" s="4" t="s">
        <v>1843</v>
      </c>
      <c r="C922" s="4" t="s">
        <v>1844</v>
      </c>
      <c r="D922" s="4">
        <v>51</v>
      </c>
      <c r="E922" s="4">
        <v>4.28</v>
      </c>
      <c r="F922" s="5">
        <f t="shared" si="14"/>
        <v>8.3921568627450982E-2</v>
      </c>
    </row>
    <row r="923" spans="1:7" x14ac:dyDescent="0.25">
      <c r="A923">
        <v>454</v>
      </c>
      <c r="B923" s="4" t="s">
        <v>1845</v>
      </c>
      <c r="C923" s="4" t="s">
        <v>1846</v>
      </c>
      <c r="D923" s="4">
        <v>4007</v>
      </c>
      <c r="E923" s="4">
        <v>320.56</v>
      </c>
      <c r="F923" s="5">
        <f t="shared" si="14"/>
        <v>0.08</v>
      </c>
      <c r="G923" t="e">
        <f>+VLOOKUP(B923,'[1]Hoja 1'!$B:$H,7,0)</f>
        <v>#N/A</v>
      </c>
    </row>
    <row r="924" spans="1:7" x14ac:dyDescent="0.25">
      <c r="B924" s="4" t="s">
        <v>1847</v>
      </c>
      <c r="C924" s="4" t="s">
        <v>1848</v>
      </c>
      <c r="D924" s="7">
        <v>474</v>
      </c>
      <c r="E924" s="4">
        <v>37.92</v>
      </c>
      <c r="F924" s="5">
        <f t="shared" si="14"/>
        <v>0.08</v>
      </c>
    </row>
    <row r="925" spans="1:7" x14ac:dyDescent="0.25">
      <c r="B925" s="4" t="s">
        <v>1849</v>
      </c>
      <c r="C925" s="4" t="s">
        <v>1850</v>
      </c>
      <c r="D925" s="4">
        <v>920</v>
      </c>
      <c r="E925" s="4">
        <v>73.599999999999994</v>
      </c>
      <c r="F925" s="5">
        <f t="shared" si="14"/>
        <v>7.9999999999999988E-2</v>
      </c>
    </row>
    <row r="926" spans="1:7" x14ac:dyDescent="0.25">
      <c r="B926" s="4" t="s">
        <v>1851</v>
      </c>
      <c r="C926" s="4" t="s">
        <v>1852</v>
      </c>
      <c r="D926" s="4">
        <v>550</v>
      </c>
      <c r="E926" s="4">
        <v>43.45</v>
      </c>
      <c r="F926" s="5">
        <f t="shared" si="14"/>
        <v>7.9000000000000001E-2</v>
      </c>
    </row>
    <row r="927" spans="1:7" x14ac:dyDescent="0.25">
      <c r="B927" s="4" t="s">
        <v>1853</v>
      </c>
      <c r="C927" s="4" t="s">
        <v>1854</v>
      </c>
      <c r="D927" s="4">
        <v>188</v>
      </c>
      <c r="E927" s="7">
        <v>14.48</v>
      </c>
      <c r="F927" s="5">
        <f t="shared" si="14"/>
        <v>7.7021276595744689E-2</v>
      </c>
    </row>
    <row r="928" spans="1:7" x14ac:dyDescent="0.25">
      <c r="B928" s="4" t="s">
        <v>1855</v>
      </c>
      <c r="C928" s="4" t="s">
        <v>1856</v>
      </c>
      <c r="D928" s="4">
        <v>100</v>
      </c>
      <c r="E928" s="4">
        <v>7</v>
      </c>
      <c r="F928" s="5">
        <f t="shared" si="14"/>
        <v>7.0000000000000007E-2</v>
      </c>
    </row>
    <row r="929" spans="1:6" x14ac:dyDescent="0.25">
      <c r="A929">
        <v>200</v>
      </c>
      <c r="B929" s="4" t="s">
        <v>1857</v>
      </c>
      <c r="C929" s="4" t="s">
        <v>1858</v>
      </c>
      <c r="D929" s="4">
        <v>283</v>
      </c>
      <c r="E929" s="4">
        <v>19.809999999999999</v>
      </c>
      <c r="F929" s="5">
        <f t="shared" si="14"/>
        <v>6.9999999999999993E-2</v>
      </c>
    </row>
    <row r="930" spans="1:6" x14ac:dyDescent="0.25">
      <c r="B930" s="4" t="s">
        <v>1859</v>
      </c>
      <c r="C930" s="4" t="s">
        <v>1860</v>
      </c>
      <c r="D930" s="4">
        <v>200</v>
      </c>
      <c r="E930" s="7">
        <v>13.8</v>
      </c>
      <c r="F930" s="5">
        <f t="shared" si="14"/>
        <v>6.9000000000000006E-2</v>
      </c>
    </row>
    <row r="931" spans="1:6" x14ac:dyDescent="0.25">
      <c r="A931">
        <v>54</v>
      </c>
      <c r="B931" s="4" t="s">
        <v>1861</v>
      </c>
      <c r="C931" s="4" t="s">
        <v>1862</v>
      </c>
      <c r="D931" s="4">
        <v>100</v>
      </c>
      <c r="E931" s="7">
        <v>6.2</v>
      </c>
      <c r="F931" s="5">
        <f t="shared" si="14"/>
        <v>6.2E-2</v>
      </c>
    </row>
    <row r="932" spans="1:6" x14ac:dyDescent="0.25">
      <c r="B932" s="4" t="s">
        <v>1863</v>
      </c>
      <c r="C932" s="4" t="s">
        <v>1864</v>
      </c>
      <c r="D932" s="4">
        <v>1356</v>
      </c>
      <c r="E932" s="4">
        <v>83.79</v>
      </c>
      <c r="F932" s="5">
        <f t="shared" si="14"/>
        <v>6.179203539823009E-2</v>
      </c>
    </row>
    <row r="933" spans="1:6" x14ac:dyDescent="0.25">
      <c r="A933">
        <v>34</v>
      </c>
      <c r="B933" s="4" t="s">
        <v>1865</v>
      </c>
      <c r="C933" s="4" t="s">
        <v>1866</v>
      </c>
      <c r="D933" s="7">
        <v>41</v>
      </c>
      <c r="E933" s="7">
        <v>2.5</v>
      </c>
      <c r="F933" s="5">
        <f t="shared" si="14"/>
        <v>6.097560975609756E-2</v>
      </c>
    </row>
    <row r="934" spans="1:6" x14ac:dyDescent="0.25">
      <c r="B934" s="4" t="s">
        <v>1867</v>
      </c>
      <c r="C934" s="4" t="s">
        <v>1868</v>
      </c>
      <c r="D934" s="4">
        <v>1060</v>
      </c>
      <c r="E934" s="4">
        <v>63.6</v>
      </c>
      <c r="F934" s="5">
        <f t="shared" si="14"/>
        <v>6.0000000000000005E-2</v>
      </c>
    </row>
    <row r="935" spans="1:6" x14ac:dyDescent="0.25">
      <c r="B935" s="4" t="s">
        <v>1869</v>
      </c>
      <c r="C935" s="4" t="s">
        <v>1870</v>
      </c>
      <c r="D935" s="4">
        <v>1150</v>
      </c>
      <c r="E935" s="4">
        <v>69</v>
      </c>
      <c r="F935" s="5">
        <f t="shared" si="14"/>
        <v>0.06</v>
      </c>
    </row>
    <row r="936" spans="1:6" x14ac:dyDescent="0.25">
      <c r="B936" s="4" t="s">
        <v>1871</v>
      </c>
      <c r="C936" s="4" t="s">
        <v>1872</v>
      </c>
      <c r="D936" s="4">
        <v>590</v>
      </c>
      <c r="E936" s="4">
        <v>35.4</v>
      </c>
      <c r="F936" s="5">
        <f t="shared" si="14"/>
        <v>0.06</v>
      </c>
    </row>
    <row r="937" spans="1:6" x14ac:dyDescent="0.25">
      <c r="A937">
        <v>86</v>
      </c>
      <c r="B937" s="4" t="s">
        <v>1873</v>
      </c>
      <c r="C937" s="4" t="s">
        <v>1874</v>
      </c>
      <c r="D937" s="4">
        <v>267</v>
      </c>
      <c r="E937" s="4">
        <v>16.02</v>
      </c>
      <c r="F937" s="5">
        <f t="shared" si="14"/>
        <v>0.06</v>
      </c>
    </row>
    <row r="938" spans="1:6" x14ac:dyDescent="0.25">
      <c r="B938" s="4" t="s">
        <v>1875</v>
      </c>
      <c r="C938" s="4" t="s">
        <v>1876</v>
      </c>
      <c r="D938" s="4">
        <v>1089</v>
      </c>
      <c r="E938" s="4">
        <v>59.89</v>
      </c>
      <c r="F938" s="5">
        <f t="shared" si="14"/>
        <v>5.4995408631772269E-2</v>
      </c>
    </row>
    <row r="939" spans="1:6" x14ac:dyDescent="0.25">
      <c r="B939" s="4" t="s">
        <v>1877</v>
      </c>
      <c r="C939" s="4" t="s">
        <v>1878</v>
      </c>
      <c r="D939" s="4">
        <v>1546</v>
      </c>
      <c r="E939" s="4">
        <v>78.849999999999994</v>
      </c>
      <c r="F939" s="5">
        <f t="shared" si="14"/>
        <v>5.1002587322121602E-2</v>
      </c>
    </row>
    <row r="940" spans="1:6" x14ac:dyDescent="0.25">
      <c r="A940">
        <v>92</v>
      </c>
      <c r="B940" s="4" t="s">
        <v>1879</v>
      </c>
      <c r="C940" s="4" t="s">
        <v>1880</v>
      </c>
      <c r="D940" s="4">
        <v>4345</v>
      </c>
      <c r="E940" s="4">
        <v>217.25</v>
      </c>
      <c r="F940" s="5">
        <f t="shared" si="14"/>
        <v>0.05</v>
      </c>
    </row>
    <row r="941" spans="1:6" x14ac:dyDescent="0.25">
      <c r="B941" s="4" t="s">
        <v>1881</v>
      </c>
      <c r="C941" s="4" t="s">
        <v>1882</v>
      </c>
      <c r="D941" s="4">
        <v>1728</v>
      </c>
      <c r="E941" s="4">
        <v>86.4</v>
      </c>
      <c r="F941" s="5">
        <f t="shared" si="14"/>
        <v>0.05</v>
      </c>
    </row>
    <row r="942" spans="1:6" x14ac:dyDescent="0.25">
      <c r="B942" s="4" t="s">
        <v>1883</v>
      </c>
      <c r="C942" s="4" t="s">
        <v>1884</v>
      </c>
      <c r="D942" s="7">
        <v>1280</v>
      </c>
      <c r="E942" s="7">
        <v>64</v>
      </c>
      <c r="F942" s="5">
        <f t="shared" si="14"/>
        <v>0.05</v>
      </c>
    </row>
    <row r="943" spans="1:6" x14ac:dyDescent="0.25">
      <c r="A943">
        <v>359</v>
      </c>
      <c r="B943" s="4" t="s">
        <v>1885</v>
      </c>
      <c r="C943" s="4" t="s">
        <v>1886</v>
      </c>
      <c r="D943" s="4">
        <v>895</v>
      </c>
      <c r="E943" s="4">
        <v>44.75</v>
      </c>
      <c r="F943" s="5">
        <f t="shared" si="14"/>
        <v>0.05</v>
      </c>
    </row>
    <row r="944" spans="1:6" x14ac:dyDescent="0.25">
      <c r="A944">
        <v>204</v>
      </c>
      <c r="B944" s="4" t="s">
        <v>1887</v>
      </c>
      <c r="C944" s="4" t="s">
        <v>1888</v>
      </c>
      <c r="D944" s="4">
        <v>4374</v>
      </c>
      <c r="E944" s="4">
        <v>218.7</v>
      </c>
      <c r="F944" s="5">
        <f t="shared" si="14"/>
        <v>4.9999999999999996E-2</v>
      </c>
    </row>
    <row r="945" spans="1:6" x14ac:dyDescent="0.25">
      <c r="B945" s="4" t="s">
        <v>1889</v>
      </c>
      <c r="C945" s="4" t="s">
        <v>1890</v>
      </c>
      <c r="D945" s="4">
        <v>4092</v>
      </c>
      <c r="E945" s="4">
        <v>204.6</v>
      </c>
      <c r="F945" s="5">
        <f t="shared" si="14"/>
        <v>4.9999999999999996E-2</v>
      </c>
    </row>
    <row r="946" spans="1:6" x14ac:dyDescent="0.25">
      <c r="B946" s="4" t="s">
        <v>1891</v>
      </c>
      <c r="C946" s="4" t="s">
        <v>1892</v>
      </c>
      <c r="D946" s="4">
        <v>688</v>
      </c>
      <c r="E946" s="7">
        <v>34.4</v>
      </c>
      <c r="F946" s="5">
        <f t="shared" si="14"/>
        <v>4.9999999999999996E-2</v>
      </c>
    </row>
    <row r="947" spans="1:6" x14ac:dyDescent="0.25">
      <c r="B947" s="4" t="s">
        <v>1893</v>
      </c>
      <c r="C947" s="4" t="s">
        <v>1894</v>
      </c>
      <c r="D947" s="4">
        <v>232</v>
      </c>
      <c r="E947" s="4">
        <v>11.6</v>
      </c>
      <c r="F947" s="5">
        <f t="shared" si="14"/>
        <v>4.9999999999999996E-2</v>
      </c>
    </row>
    <row r="948" spans="1:6" x14ac:dyDescent="0.25">
      <c r="B948" s="4" t="s">
        <v>1895</v>
      </c>
      <c r="C948" s="4" t="s">
        <v>1896</v>
      </c>
      <c r="D948" s="4">
        <v>184</v>
      </c>
      <c r="E948" s="4">
        <v>9.1999999999999993</v>
      </c>
      <c r="F948" s="5">
        <f t="shared" si="14"/>
        <v>4.9999999999999996E-2</v>
      </c>
    </row>
    <row r="949" spans="1:6" x14ac:dyDescent="0.25">
      <c r="B949" s="4" t="s">
        <v>1897</v>
      </c>
      <c r="C949" s="4" t="s">
        <v>1898</v>
      </c>
      <c r="D949" s="4">
        <v>7</v>
      </c>
      <c r="E949" s="4">
        <v>0.35</v>
      </c>
      <c r="F949" s="5">
        <f t="shared" si="14"/>
        <v>4.9999999999999996E-2</v>
      </c>
    </row>
    <row r="950" spans="1:6" x14ac:dyDescent="0.25">
      <c r="B950" s="4" t="s">
        <v>1899</v>
      </c>
      <c r="C950" s="4" t="s">
        <v>1900</v>
      </c>
      <c r="D950" s="4">
        <v>1720.01</v>
      </c>
      <c r="E950" s="4">
        <v>79.11</v>
      </c>
      <c r="F950" s="5">
        <f t="shared" si="14"/>
        <v>4.5993918640007909E-2</v>
      </c>
    </row>
    <row r="951" spans="1:6" x14ac:dyDescent="0.25">
      <c r="B951" s="4" t="s">
        <v>1901</v>
      </c>
      <c r="C951" s="4" t="s">
        <v>1902</v>
      </c>
      <c r="D951" s="4">
        <v>2647</v>
      </c>
      <c r="E951" s="4">
        <v>105.88</v>
      </c>
      <c r="F951" s="5">
        <f t="shared" si="14"/>
        <v>0.04</v>
      </c>
    </row>
    <row r="952" spans="1:6" x14ac:dyDescent="0.25">
      <c r="A952">
        <v>350</v>
      </c>
      <c r="B952" s="4" t="s">
        <v>1903</v>
      </c>
      <c r="C952" s="4" t="s">
        <v>1904</v>
      </c>
      <c r="D952" s="4">
        <v>1889</v>
      </c>
      <c r="E952" s="4">
        <v>75.56</v>
      </c>
      <c r="F952" s="5">
        <f t="shared" si="14"/>
        <v>0.04</v>
      </c>
    </row>
    <row r="953" spans="1:6" x14ac:dyDescent="0.25">
      <c r="B953" s="4" t="s">
        <v>1905</v>
      </c>
      <c r="C953" s="4" t="s">
        <v>1906</v>
      </c>
      <c r="D953" s="4">
        <v>1538</v>
      </c>
      <c r="E953" s="4">
        <v>61.52</v>
      </c>
      <c r="F953" s="5">
        <f t="shared" si="14"/>
        <v>0.04</v>
      </c>
    </row>
    <row r="954" spans="1:6" x14ac:dyDescent="0.25">
      <c r="A954">
        <v>181</v>
      </c>
      <c r="B954" s="4" t="s">
        <v>1907</v>
      </c>
      <c r="C954" s="4" t="s">
        <v>1908</v>
      </c>
      <c r="D954" s="4">
        <v>1059</v>
      </c>
      <c r="E954" s="4">
        <v>42.36</v>
      </c>
      <c r="F954" s="5">
        <f t="shared" si="14"/>
        <v>0.04</v>
      </c>
    </row>
    <row r="955" spans="1:6" x14ac:dyDescent="0.25">
      <c r="B955" s="4" t="s">
        <v>1909</v>
      </c>
      <c r="C955" s="4" t="s">
        <v>1910</v>
      </c>
      <c r="D955" s="4">
        <v>880</v>
      </c>
      <c r="E955" s="4">
        <v>35.200000000000003</v>
      </c>
      <c r="F955" s="5">
        <f t="shared" si="14"/>
        <v>0.04</v>
      </c>
    </row>
    <row r="956" spans="1:6" x14ac:dyDescent="0.25">
      <c r="B956" s="4" t="s">
        <v>1911</v>
      </c>
      <c r="C956" s="4" t="s">
        <v>1912</v>
      </c>
      <c r="D956" s="4">
        <v>324</v>
      </c>
      <c r="E956" s="4">
        <v>12.96</v>
      </c>
      <c r="F956" s="5">
        <f t="shared" si="14"/>
        <v>0.04</v>
      </c>
    </row>
    <row r="957" spans="1:6" x14ac:dyDescent="0.25">
      <c r="B957" s="4" t="s">
        <v>1913</v>
      </c>
      <c r="C957" s="4" t="s">
        <v>1914</v>
      </c>
      <c r="D957" s="4">
        <v>312</v>
      </c>
      <c r="E957" s="4">
        <v>12.48</v>
      </c>
      <c r="F957" s="5">
        <f t="shared" si="14"/>
        <v>0.04</v>
      </c>
    </row>
    <row r="958" spans="1:6" x14ac:dyDescent="0.25">
      <c r="B958" s="4" t="s">
        <v>1915</v>
      </c>
      <c r="C958" s="4" t="s">
        <v>1916</v>
      </c>
      <c r="D958" s="4">
        <v>198</v>
      </c>
      <c r="E958" s="4">
        <v>7.92</v>
      </c>
      <c r="F958" s="5">
        <f t="shared" si="14"/>
        <v>0.04</v>
      </c>
    </row>
    <row r="959" spans="1:6" x14ac:dyDescent="0.25">
      <c r="B959" s="4" t="s">
        <v>1917</v>
      </c>
      <c r="C959" s="4" t="s">
        <v>1918</v>
      </c>
      <c r="D959" s="4">
        <v>100</v>
      </c>
      <c r="E959" s="4">
        <v>4</v>
      </c>
      <c r="F959" s="5">
        <f t="shared" si="14"/>
        <v>0.04</v>
      </c>
    </row>
    <row r="960" spans="1:6" x14ac:dyDescent="0.25">
      <c r="B960" s="4" t="s">
        <v>1919</v>
      </c>
      <c r="C960" s="4" t="s">
        <v>1920</v>
      </c>
      <c r="D960" s="4">
        <v>35</v>
      </c>
      <c r="E960" s="4">
        <v>1.4</v>
      </c>
      <c r="F960" s="5">
        <f t="shared" si="14"/>
        <v>0.04</v>
      </c>
    </row>
    <row r="961" spans="1:7" x14ac:dyDescent="0.25">
      <c r="A961">
        <v>564</v>
      </c>
      <c r="B961" s="4" t="s">
        <v>1921</v>
      </c>
      <c r="C961" s="4" t="s">
        <v>1922</v>
      </c>
      <c r="D961" s="4">
        <v>22</v>
      </c>
      <c r="E961" s="4">
        <v>0.88</v>
      </c>
      <c r="F961" s="5">
        <f t="shared" si="14"/>
        <v>0.04</v>
      </c>
    </row>
    <row r="962" spans="1:7" x14ac:dyDescent="0.25">
      <c r="A962">
        <v>557</v>
      </c>
      <c r="B962" s="4" t="s">
        <v>1923</v>
      </c>
      <c r="C962" s="4" t="s">
        <v>1924</v>
      </c>
      <c r="D962" s="4">
        <v>1815</v>
      </c>
      <c r="E962" s="4">
        <v>72.599999999999994</v>
      </c>
      <c r="F962" s="5">
        <f t="shared" ref="F962:F1023" si="15">+IFERROR(E962/D962,0)</f>
        <v>3.9999999999999994E-2</v>
      </c>
    </row>
    <row r="963" spans="1:7" x14ac:dyDescent="0.25">
      <c r="A963">
        <v>414</v>
      </c>
      <c r="B963" s="4" t="s">
        <v>1925</v>
      </c>
      <c r="C963" s="4" t="s">
        <v>1926</v>
      </c>
      <c r="D963" s="4">
        <v>232</v>
      </c>
      <c r="E963" s="4">
        <v>9.2799999999999994</v>
      </c>
      <c r="F963" s="5">
        <f t="shared" si="15"/>
        <v>3.9999999999999994E-2</v>
      </c>
    </row>
    <row r="964" spans="1:7" x14ac:dyDescent="0.25">
      <c r="B964" s="4" t="s">
        <v>1927</v>
      </c>
      <c r="C964" s="4" t="s">
        <v>1928</v>
      </c>
      <c r="D964" s="7">
        <v>2287</v>
      </c>
      <c r="E964" s="4">
        <v>91.33</v>
      </c>
      <c r="F964" s="5">
        <f t="shared" si="15"/>
        <v>3.9934411893310012E-2</v>
      </c>
    </row>
    <row r="965" spans="1:7" x14ac:dyDescent="0.25">
      <c r="A965">
        <v>76</v>
      </c>
      <c r="B965" s="4" t="s">
        <v>1929</v>
      </c>
      <c r="C965" s="4" t="s">
        <v>1930</v>
      </c>
      <c r="D965" s="4">
        <v>2273</v>
      </c>
      <c r="E965" s="4">
        <v>90.75</v>
      </c>
      <c r="F965" s="5">
        <f t="shared" si="15"/>
        <v>3.9925208974923007E-2</v>
      </c>
    </row>
    <row r="966" spans="1:7" x14ac:dyDescent="0.25">
      <c r="B966" s="4" t="s">
        <v>1931</v>
      </c>
      <c r="C966" s="4" t="s">
        <v>1932</v>
      </c>
      <c r="D966" s="4">
        <v>3959</v>
      </c>
      <c r="E966" s="4">
        <v>153.68</v>
      </c>
      <c r="F966" s="5">
        <f t="shared" si="15"/>
        <v>3.8817883303864611E-2</v>
      </c>
    </row>
    <row r="967" spans="1:7" x14ac:dyDescent="0.25">
      <c r="A967">
        <v>562</v>
      </c>
      <c r="B967" s="4" t="s">
        <v>1933</v>
      </c>
      <c r="C967" s="4" t="s">
        <v>1934</v>
      </c>
      <c r="D967" s="4">
        <v>1564</v>
      </c>
      <c r="E967" s="4">
        <v>54.74</v>
      </c>
      <c r="F967" s="5">
        <f t="shared" si="15"/>
        <v>3.5000000000000003E-2</v>
      </c>
    </row>
    <row r="968" spans="1:7" x14ac:dyDescent="0.25">
      <c r="A968">
        <v>262</v>
      </c>
      <c r="B968" s="4" t="s">
        <v>1935</v>
      </c>
      <c r="C968" s="4" t="s">
        <v>1936</v>
      </c>
      <c r="D968" s="4">
        <v>83</v>
      </c>
      <c r="E968" s="4">
        <v>2.9</v>
      </c>
      <c r="F968" s="5">
        <f t="shared" si="15"/>
        <v>3.4939759036144574E-2</v>
      </c>
    </row>
    <row r="969" spans="1:7" x14ac:dyDescent="0.25">
      <c r="A969">
        <v>530</v>
      </c>
      <c r="B969" s="4" t="s">
        <v>1937</v>
      </c>
      <c r="C969" s="4" t="s">
        <v>1938</v>
      </c>
      <c r="D969" s="4">
        <v>300</v>
      </c>
      <c r="E969" s="7">
        <v>10.199999999999999</v>
      </c>
      <c r="F969" s="5">
        <f t="shared" si="15"/>
        <v>3.3999999999999996E-2</v>
      </c>
      <c r="G969" t="e">
        <f>+VLOOKUP(B969,'[1]Hoja 1'!$B:$H,7,0)</f>
        <v>#N/A</v>
      </c>
    </row>
    <row r="970" spans="1:7" x14ac:dyDescent="0.25">
      <c r="B970" s="4" t="s">
        <v>1939</v>
      </c>
      <c r="C970" s="4" t="s">
        <v>1940</v>
      </c>
      <c r="D970" s="4">
        <v>1480</v>
      </c>
      <c r="E970" s="4">
        <v>45.88</v>
      </c>
      <c r="F970" s="5">
        <f t="shared" si="15"/>
        <v>3.1000000000000003E-2</v>
      </c>
    </row>
    <row r="971" spans="1:7" x14ac:dyDescent="0.25">
      <c r="B971" s="4" t="s">
        <v>1941</v>
      </c>
      <c r="C971" s="4" t="s">
        <v>1942</v>
      </c>
      <c r="D971" s="4">
        <v>1100</v>
      </c>
      <c r="E971" s="4">
        <v>33.799999999999997</v>
      </c>
      <c r="F971" s="5">
        <f t="shared" si="15"/>
        <v>3.0727272727272725E-2</v>
      </c>
    </row>
    <row r="972" spans="1:7" x14ac:dyDescent="0.25">
      <c r="B972" s="4" t="s">
        <v>1943</v>
      </c>
      <c r="C972" s="4" t="s">
        <v>1944</v>
      </c>
      <c r="D972" s="7">
        <v>4730</v>
      </c>
      <c r="E972" s="4">
        <v>141.9</v>
      </c>
      <c r="F972" s="5">
        <f t="shared" si="15"/>
        <v>3.0000000000000002E-2</v>
      </c>
    </row>
    <row r="973" spans="1:7" x14ac:dyDescent="0.25">
      <c r="B973" s="4" t="s">
        <v>1945</v>
      </c>
      <c r="C973" s="4" t="s">
        <v>1946</v>
      </c>
      <c r="D973" s="4">
        <v>2855</v>
      </c>
      <c r="E973" s="4">
        <v>85.65</v>
      </c>
      <c r="F973" s="5">
        <f t="shared" si="15"/>
        <v>3.0000000000000002E-2</v>
      </c>
    </row>
    <row r="974" spans="1:7" x14ac:dyDescent="0.25">
      <c r="B974" s="4" t="s">
        <v>1947</v>
      </c>
      <c r="C974" s="4" t="s">
        <v>1948</v>
      </c>
      <c r="D974" s="4">
        <v>1820</v>
      </c>
      <c r="E974" s="4">
        <v>54.6</v>
      </c>
      <c r="F974" s="5">
        <f t="shared" si="15"/>
        <v>3.0000000000000002E-2</v>
      </c>
    </row>
    <row r="975" spans="1:7" x14ac:dyDescent="0.25">
      <c r="B975" s="4" t="s">
        <v>1949</v>
      </c>
      <c r="C975" s="4" t="s">
        <v>1950</v>
      </c>
      <c r="D975" s="4">
        <v>474</v>
      </c>
      <c r="E975" s="4">
        <v>14.22</v>
      </c>
      <c r="F975" s="5">
        <f t="shared" si="15"/>
        <v>3.0000000000000002E-2</v>
      </c>
    </row>
    <row r="976" spans="1:7" x14ac:dyDescent="0.25">
      <c r="B976" s="4" t="s">
        <v>1951</v>
      </c>
      <c r="C976" s="4" t="s">
        <v>1952</v>
      </c>
      <c r="D976" s="4">
        <v>4550</v>
      </c>
      <c r="E976" s="4">
        <v>136.5</v>
      </c>
      <c r="F976" s="5">
        <f t="shared" si="15"/>
        <v>0.03</v>
      </c>
    </row>
    <row r="977" spans="1:6" x14ac:dyDescent="0.25">
      <c r="A977">
        <v>558</v>
      </c>
      <c r="B977" s="4" t="s">
        <v>1953</v>
      </c>
      <c r="C977" s="4" t="s">
        <v>1954</v>
      </c>
      <c r="D977" s="4">
        <v>3647</v>
      </c>
      <c r="E977" s="4">
        <v>109.41</v>
      </c>
      <c r="F977" s="5">
        <f t="shared" si="15"/>
        <v>0.03</v>
      </c>
    </row>
    <row r="978" spans="1:6" x14ac:dyDescent="0.25">
      <c r="A978">
        <v>123</v>
      </c>
      <c r="B978" s="4" t="s">
        <v>1955</v>
      </c>
      <c r="C978" s="4" t="s">
        <v>1956</v>
      </c>
      <c r="D978" s="4">
        <v>3259</v>
      </c>
      <c r="E978" s="4">
        <v>97.77</v>
      </c>
      <c r="F978" s="5">
        <f t="shared" si="15"/>
        <v>0.03</v>
      </c>
    </row>
    <row r="979" spans="1:6" x14ac:dyDescent="0.25">
      <c r="B979" s="4" t="s">
        <v>1957</v>
      </c>
      <c r="C979" s="4" t="s">
        <v>1958</v>
      </c>
      <c r="D979" s="4">
        <v>2346</v>
      </c>
      <c r="E979" s="4">
        <v>70.38</v>
      </c>
      <c r="F979" s="5">
        <f t="shared" si="15"/>
        <v>0.03</v>
      </c>
    </row>
    <row r="980" spans="1:6" x14ac:dyDescent="0.25">
      <c r="B980" s="4" t="s">
        <v>1959</v>
      </c>
      <c r="C980" s="4" t="s">
        <v>1960</v>
      </c>
      <c r="D980" s="4">
        <v>2116</v>
      </c>
      <c r="E980" s="4">
        <v>63.48</v>
      </c>
      <c r="F980" s="5">
        <f t="shared" si="15"/>
        <v>0.03</v>
      </c>
    </row>
    <row r="981" spans="1:6" x14ac:dyDescent="0.25">
      <c r="B981" s="4" t="s">
        <v>1961</v>
      </c>
      <c r="C981" s="4" t="s">
        <v>1962</v>
      </c>
      <c r="D981" s="4">
        <v>1742</v>
      </c>
      <c r="E981" s="4">
        <v>52.26</v>
      </c>
      <c r="F981" s="5">
        <f t="shared" si="15"/>
        <v>0.03</v>
      </c>
    </row>
    <row r="982" spans="1:6" x14ac:dyDescent="0.25">
      <c r="A982">
        <v>470</v>
      </c>
      <c r="B982" s="4" t="s">
        <v>1963</v>
      </c>
      <c r="C982" s="4" t="s">
        <v>1964</v>
      </c>
      <c r="D982" s="4">
        <v>1198</v>
      </c>
      <c r="E982" s="7">
        <v>35.94</v>
      </c>
      <c r="F982" s="5">
        <f t="shared" si="15"/>
        <v>0.03</v>
      </c>
    </row>
    <row r="983" spans="1:6" x14ac:dyDescent="0.25">
      <c r="B983" s="4" t="s">
        <v>1965</v>
      </c>
      <c r="C983" s="4" t="s">
        <v>1966</v>
      </c>
      <c r="D983" s="4">
        <v>1000</v>
      </c>
      <c r="E983" s="4">
        <v>30</v>
      </c>
      <c r="F983" s="5">
        <f t="shared" si="15"/>
        <v>0.03</v>
      </c>
    </row>
    <row r="984" spans="1:6" x14ac:dyDescent="0.25">
      <c r="A984">
        <v>551</v>
      </c>
      <c r="B984" s="4" t="s">
        <v>1967</v>
      </c>
      <c r="C984" s="4" t="s">
        <v>1968</v>
      </c>
      <c r="D984" s="4">
        <v>358</v>
      </c>
      <c r="E984" s="4">
        <v>10.74</v>
      </c>
      <c r="F984" s="5">
        <f t="shared" si="15"/>
        <v>0.03</v>
      </c>
    </row>
    <row r="985" spans="1:6" x14ac:dyDescent="0.25">
      <c r="A985">
        <v>22</v>
      </c>
      <c r="B985" s="4" t="s">
        <v>1969</v>
      </c>
      <c r="C985" s="4" t="s">
        <v>1970</v>
      </c>
      <c r="D985" s="4">
        <v>100</v>
      </c>
      <c r="E985" s="4">
        <v>3</v>
      </c>
      <c r="F985" s="5">
        <f t="shared" si="15"/>
        <v>0.03</v>
      </c>
    </row>
    <row r="986" spans="1:6" x14ac:dyDescent="0.25">
      <c r="A986">
        <v>523</v>
      </c>
      <c r="B986" s="4" t="s">
        <v>1971</v>
      </c>
      <c r="C986" s="4" t="s">
        <v>1972</v>
      </c>
      <c r="D986" s="4">
        <v>80</v>
      </c>
      <c r="E986" s="4">
        <v>2.16</v>
      </c>
      <c r="F986" s="5">
        <f t="shared" si="15"/>
        <v>2.7000000000000003E-2</v>
      </c>
    </row>
    <row r="987" spans="1:6" x14ac:dyDescent="0.25">
      <c r="B987" s="4" t="s">
        <v>1973</v>
      </c>
      <c r="C987" s="4" t="s">
        <v>1974</v>
      </c>
      <c r="D987" s="4">
        <v>1354</v>
      </c>
      <c r="E987" s="4">
        <v>33.85</v>
      </c>
      <c r="F987" s="5">
        <f t="shared" si="15"/>
        <v>2.5000000000000001E-2</v>
      </c>
    </row>
    <row r="988" spans="1:6" x14ac:dyDescent="0.25">
      <c r="A988">
        <v>243</v>
      </c>
      <c r="B988" s="4" t="s">
        <v>1975</v>
      </c>
      <c r="C988" s="4" t="s">
        <v>1976</v>
      </c>
      <c r="D988" s="4">
        <v>226</v>
      </c>
      <c r="E988" s="4">
        <v>5.65</v>
      </c>
      <c r="F988" s="5">
        <f t="shared" si="15"/>
        <v>2.5000000000000001E-2</v>
      </c>
    </row>
    <row r="989" spans="1:6" x14ac:dyDescent="0.25">
      <c r="B989" s="4" t="s">
        <v>1977</v>
      </c>
      <c r="C989" s="4" t="s">
        <v>1978</v>
      </c>
      <c r="D989" s="4">
        <v>66</v>
      </c>
      <c r="E989" s="4">
        <v>1.65</v>
      </c>
      <c r="F989" s="5">
        <f t="shared" si="15"/>
        <v>2.4999999999999998E-2</v>
      </c>
    </row>
    <row r="990" spans="1:6" x14ac:dyDescent="0.25">
      <c r="B990" s="4" t="s">
        <v>1979</v>
      </c>
      <c r="C990" s="4" t="s">
        <v>1980</v>
      </c>
      <c r="D990" s="4">
        <v>3151</v>
      </c>
      <c r="E990" s="4">
        <v>72.2</v>
      </c>
      <c r="F990" s="5">
        <f t="shared" si="15"/>
        <v>2.2913360837829262E-2</v>
      </c>
    </row>
    <row r="991" spans="1:6" x14ac:dyDescent="0.25">
      <c r="B991" s="4" t="s">
        <v>1981</v>
      </c>
      <c r="C991" s="4" t="s">
        <v>1982</v>
      </c>
      <c r="D991" s="4">
        <v>4290</v>
      </c>
      <c r="E991" s="4">
        <v>85.8</v>
      </c>
      <c r="F991" s="5">
        <f t="shared" si="15"/>
        <v>0.02</v>
      </c>
    </row>
    <row r="992" spans="1:6" x14ac:dyDescent="0.25">
      <c r="B992" s="4" t="s">
        <v>1983</v>
      </c>
      <c r="C992" s="4" t="s">
        <v>1984</v>
      </c>
      <c r="D992" s="4">
        <v>3008</v>
      </c>
      <c r="E992" s="4">
        <v>60.16</v>
      </c>
      <c r="F992" s="5">
        <f t="shared" si="15"/>
        <v>0.02</v>
      </c>
    </row>
    <row r="993" spans="1:7" x14ac:dyDescent="0.25">
      <c r="B993" s="4" t="s">
        <v>1985</v>
      </c>
      <c r="C993" s="4" t="s">
        <v>1986</v>
      </c>
      <c r="D993" s="4">
        <v>2982</v>
      </c>
      <c r="E993" s="4">
        <v>59.64</v>
      </c>
      <c r="F993" s="5">
        <f t="shared" si="15"/>
        <v>0.02</v>
      </c>
    </row>
    <row r="994" spans="1:7" x14ac:dyDescent="0.25">
      <c r="A994">
        <v>130</v>
      </c>
      <c r="B994" s="4" t="s">
        <v>1987</v>
      </c>
      <c r="C994" s="4" t="s">
        <v>1988</v>
      </c>
      <c r="D994" s="4">
        <v>2094</v>
      </c>
      <c r="E994" s="4">
        <v>41.88</v>
      </c>
      <c r="F994" s="5">
        <f t="shared" si="15"/>
        <v>0.02</v>
      </c>
    </row>
    <row r="995" spans="1:7" x14ac:dyDescent="0.25">
      <c r="A995">
        <v>167</v>
      </c>
      <c r="B995" s="4" t="s">
        <v>1989</v>
      </c>
      <c r="C995" s="4" t="s">
        <v>1990</v>
      </c>
      <c r="D995" s="4">
        <v>2060</v>
      </c>
      <c r="E995" s="4">
        <v>41.2</v>
      </c>
      <c r="F995" s="5">
        <f t="shared" si="15"/>
        <v>0.02</v>
      </c>
    </row>
    <row r="996" spans="1:7" x14ac:dyDescent="0.25">
      <c r="B996" s="4" t="s">
        <v>1991</v>
      </c>
      <c r="C996" s="4" t="s">
        <v>1992</v>
      </c>
      <c r="D996" s="4">
        <v>1552</v>
      </c>
      <c r="E996" s="4">
        <v>31.04</v>
      </c>
      <c r="F996" s="5">
        <f t="shared" si="15"/>
        <v>0.02</v>
      </c>
    </row>
    <row r="997" spans="1:7" x14ac:dyDescent="0.25">
      <c r="A997">
        <v>426</v>
      </c>
      <c r="B997" s="4" t="s">
        <v>1993</v>
      </c>
      <c r="C997" s="4" t="s">
        <v>1994</v>
      </c>
      <c r="D997" s="4">
        <v>1448</v>
      </c>
      <c r="E997" s="4">
        <v>28.96</v>
      </c>
      <c r="F997" s="5">
        <f t="shared" si="15"/>
        <v>0.02</v>
      </c>
    </row>
    <row r="998" spans="1:7" x14ac:dyDescent="0.25">
      <c r="B998" s="4" t="s">
        <v>1995</v>
      </c>
      <c r="C998" s="4" t="s">
        <v>1996</v>
      </c>
      <c r="D998" s="4">
        <v>1242</v>
      </c>
      <c r="E998" s="4">
        <v>24.84</v>
      </c>
      <c r="F998" s="5">
        <f t="shared" si="15"/>
        <v>0.02</v>
      </c>
    </row>
    <row r="999" spans="1:7" x14ac:dyDescent="0.25">
      <c r="A999">
        <v>152</v>
      </c>
      <c r="B999" s="4" t="s">
        <v>1997</v>
      </c>
      <c r="C999" s="4" t="s">
        <v>1998</v>
      </c>
      <c r="D999" s="7">
        <v>613</v>
      </c>
      <c r="E999" s="4">
        <v>12.26</v>
      </c>
      <c r="F999" s="5">
        <f t="shared" si="15"/>
        <v>0.02</v>
      </c>
      <c r="G999" t="e">
        <f>+VLOOKUP(B999,'[1]Hoja 1'!$B:$H,7,0)</f>
        <v>#N/A</v>
      </c>
    </row>
    <row r="1000" spans="1:7" x14ac:dyDescent="0.25">
      <c r="B1000" s="4" t="s">
        <v>1999</v>
      </c>
      <c r="C1000" s="4" t="s">
        <v>2000</v>
      </c>
      <c r="D1000" s="4">
        <v>372</v>
      </c>
      <c r="E1000" s="4">
        <v>7.44</v>
      </c>
      <c r="F1000" s="5">
        <f t="shared" si="15"/>
        <v>0.02</v>
      </c>
    </row>
    <row r="1001" spans="1:7" x14ac:dyDescent="0.25">
      <c r="B1001" s="4" t="s">
        <v>2001</v>
      </c>
      <c r="C1001" s="4" t="s">
        <v>2002</v>
      </c>
      <c r="D1001" s="4">
        <v>318</v>
      </c>
      <c r="E1001" s="4">
        <v>6.36</v>
      </c>
      <c r="F1001" s="5">
        <f t="shared" si="15"/>
        <v>0.02</v>
      </c>
    </row>
    <row r="1002" spans="1:7" x14ac:dyDescent="0.25">
      <c r="B1002" s="4" t="s">
        <v>2003</v>
      </c>
      <c r="C1002" s="4" t="s">
        <v>2004</v>
      </c>
      <c r="D1002" s="4">
        <v>176</v>
      </c>
      <c r="E1002" s="4">
        <v>3.52</v>
      </c>
      <c r="F1002" s="5">
        <f t="shared" si="15"/>
        <v>0.02</v>
      </c>
    </row>
    <row r="1003" spans="1:7" x14ac:dyDescent="0.25">
      <c r="B1003" s="4" t="s">
        <v>2005</v>
      </c>
      <c r="C1003" s="4" t="s">
        <v>2006</v>
      </c>
      <c r="D1003" s="4">
        <v>100</v>
      </c>
      <c r="E1003" s="4">
        <v>2</v>
      </c>
      <c r="F1003" s="5">
        <f t="shared" si="15"/>
        <v>0.02</v>
      </c>
    </row>
    <row r="1004" spans="1:7" x14ac:dyDescent="0.25">
      <c r="B1004" s="4" t="s">
        <v>2007</v>
      </c>
      <c r="C1004" s="4" t="s">
        <v>2008</v>
      </c>
      <c r="D1004" s="4">
        <v>912</v>
      </c>
      <c r="E1004" s="4">
        <v>18.239999999999998</v>
      </c>
      <c r="F1004" s="5">
        <f t="shared" si="15"/>
        <v>1.9999999999999997E-2</v>
      </c>
    </row>
    <row r="1005" spans="1:7" x14ac:dyDescent="0.25">
      <c r="B1005" s="4" t="s">
        <v>2009</v>
      </c>
      <c r="C1005" s="4" t="s">
        <v>2010</v>
      </c>
      <c r="D1005" s="4">
        <v>232</v>
      </c>
      <c r="E1005" s="4">
        <v>4.6399999999999997</v>
      </c>
      <c r="F1005" s="5">
        <f t="shared" si="15"/>
        <v>1.9999999999999997E-2</v>
      </c>
    </row>
    <row r="1006" spans="1:7" x14ac:dyDescent="0.25">
      <c r="B1006" s="4" t="s">
        <v>2011</v>
      </c>
      <c r="C1006" s="4" t="s">
        <v>2012</v>
      </c>
      <c r="D1006" s="4">
        <v>1471.08</v>
      </c>
      <c r="E1006" s="4">
        <v>29.42</v>
      </c>
      <c r="F1006" s="5">
        <f t="shared" si="15"/>
        <v>1.999891236370558E-2</v>
      </c>
    </row>
    <row r="1007" spans="1:7" x14ac:dyDescent="0.25">
      <c r="B1007" s="4" t="s">
        <v>2013</v>
      </c>
      <c r="C1007" s="4" t="s">
        <v>2014</v>
      </c>
      <c r="D1007" s="4">
        <v>81</v>
      </c>
      <c r="E1007" s="7">
        <v>1.3</v>
      </c>
      <c r="F1007" s="5">
        <f t="shared" si="15"/>
        <v>1.6049382716049384E-2</v>
      </c>
    </row>
    <row r="1008" spans="1:7" x14ac:dyDescent="0.25">
      <c r="A1008">
        <v>218</v>
      </c>
      <c r="B1008" s="4" t="s">
        <v>2015</v>
      </c>
      <c r="C1008" s="4" t="s">
        <v>2016</v>
      </c>
      <c r="D1008" s="4">
        <v>1022</v>
      </c>
      <c r="E1008" s="4">
        <v>15.33</v>
      </c>
      <c r="F1008" s="5">
        <f t="shared" si="15"/>
        <v>1.4999999999999999E-2</v>
      </c>
    </row>
    <row r="1009" spans="1:7" x14ac:dyDescent="0.25">
      <c r="A1009">
        <v>224</v>
      </c>
      <c r="B1009" s="4" t="s">
        <v>2017</v>
      </c>
      <c r="C1009" s="4" t="s">
        <v>2018</v>
      </c>
      <c r="D1009" s="4">
        <v>1.96</v>
      </c>
      <c r="E1009" s="7">
        <v>0.02</v>
      </c>
      <c r="F1009" s="5">
        <f t="shared" si="15"/>
        <v>1.0204081632653062E-2</v>
      </c>
    </row>
    <row r="1010" spans="1:7" x14ac:dyDescent="0.25">
      <c r="B1010" s="4" t="s">
        <v>2019</v>
      </c>
      <c r="C1010" s="4" t="s">
        <v>2020</v>
      </c>
      <c r="D1010" s="4">
        <v>4314</v>
      </c>
      <c r="E1010" s="4">
        <v>43.14</v>
      </c>
      <c r="F1010" s="5">
        <f t="shared" si="15"/>
        <v>0.01</v>
      </c>
    </row>
    <row r="1011" spans="1:7" x14ac:dyDescent="0.25">
      <c r="A1011">
        <v>247</v>
      </c>
      <c r="B1011" s="4" t="s">
        <v>2021</v>
      </c>
      <c r="C1011" s="4" t="s">
        <v>2022</v>
      </c>
      <c r="D1011" s="4">
        <v>3182</v>
      </c>
      <c r="E1011" s="4">
        <v>31.82</v>
      </c>
      <c r="F1011" s="5">
        <f t="shared" si="15"/>
        <v>0.01</v>
      </c>
    </row>
    <row r="1012" spans="1:7" x14ac:dyDescent="0.25">
      <c r="B1012" s="4" t="s">
        <v>2023</v>
      </c>
      <c r="C1012" s="4" t="s">
        <v>2024</v>
      </c>
      <c r="D1012" s="4">
        <v>2999</v>
      </c>
      <c r="E1012" s="4">
        <v>29.99</v>
      </c>
      <c r="F1012" s="5">
        <f t="shared" si="15"/>
        <v>0.01</v>
      </c>
    </row>
    <row r="1013" spans="1:7" x14ac:dyDescent="0.25">
      <c r="A1013">
        <v>168</v>
      </c>
      <c r="B1013" s="4" t="s">
        <v>2025</v>
      </c>
      <c r="C1013" s="4" t="s">
        <v>2026</v>
      </c>
      <c r="D1013" s="4">
        <v>2497</v>
      </c>
      <c r="E1013" s="4">
        <v>24.97</v>
      </c>
      <c r="F1013" s="5">
        <f t="shared" si="15"/>
        <v>0.01</v>
      </c>
      <c r="G1013" t="e">
        <f>+VLOOKUP(B1013,'[1]Hoja 1'!$B:$H,7,0)</f>
        <v>#N/A</v>
      </c>
    </row>
    <row r="1014" spans="1:7" x14ac:dyDescent="0.25">
      <c r="A1014">
        <v>542</v>
      </c>
      <c r="B1014" s="4" t="s">
        <v>2027</v>
      </c>
      <c r="C1014" s="4" t="s">
        <v>2028</v>
      </c>
      <c r="D1014" s="4">
        <v>2223</v>
      </c>
      <c r="E1014" s="4">
        <v>22.23</v>
      </c>
      <c r="F1014" s="5">
        <f t="shared" si="15"/>
        <v>0.01</v>
      </c>
    </row>
    <row r="1015" spans="1:7" x14ac:dyDescent="0.25">
      <c r="B1015" s="4" t="s">
        <v>2029</v>
      </c>
      <c r="C1015" s="4" t="s">
        <v>2030</v>
      </c>
      <c r="D1015" s="4">
        <v>2201</v>
      </c>
      <c r="E1015" s="4">
        <v>22.01</v>
      </c>
      <c r="F1015" s="5">
        <f t="shared" si="15"/>
        <v>0.01</v>
      </c>
    </row>
    <row r="1016" spans="1:7" x14ac:dyDescent="0.25">
      <c r="A1016">
        <v>42</v>
      </c>
      <c r="B1016" s="4" t="s">
        <v>2031</v>
      </c>
      <c r="C1016" s="4" t="s">
        <v>2032</v>
      </c>
      <c r="D1016" s="4">
        <v>2160</v>
      </c>
      <c r="E1016" s="4">
        <v>21.6</v>
      </c>
      <c r="F1016" s="5">
        <f t="shared" si="15"/>
        <v>0.01</v>
      </c>
      <c r="G1016" t="e">
        <f>+VLOOKUP(B1016,'[1]Hoja 1'!$B:$H,7,0)</f>
        <v>#N/A</v>
      </c>
    </row>
    <row r="1017" spans="1:7" x14ac:dyDescent="0.25">
      <c r="B1017" s="4" t="s">
        <v>2033</v>
      </c>
      <c r="C1017" s="4" t="s">
        <v>2034</v>
      </c>
      <c r="D1017" s="4">
        <v>1149</v>
      </c>
      <c r="E1017" s="4">
        <v>11.49</v>
      </c>
      <c r="F1017" s="5">
        <f t="shared" si="15"/>
        <v>0.01</v>
      </c>
    </row>
    <row r="1018" spans="1:7" x14ac:dyDescent="0.25">
      <c r="B1018" s="4" t="s">
        <v>2035</v>
      </c>
      <c r="C1018" s="4" t="s">
        <v>2036</v>
      </c>
      <c r="D1018" s="7">
        <v>64</v>
      </c>
      <c r="E1018" s="4">
        <v>0.64</v>
      </c>
      <c r="F1018" s="5">
        <f t="shared" si="15"/>
        <v>0.01</v>
      </c>
    </row>
    <row r="1019" spans="1:7" x14ac:dyDescent="0.25">
      <c r="B1019" s="4" t="s">
        <v>2037</v>
      </c>
      <c r="C1019" s="4" t="s">
        <v>2038</v>
      </c>
      <c r="D1019" s="4">
        <v>11</v>
      </c>
      <c r="E1019" s="4">
        <v>0.11</v>
      </c>
      <c r="F1019" s="5">
        <f t="shared" si="15"/>
        <v>0.01</v>
      </c>
    </row>
    <row r="1020" spans="1:7" x14ac:dyDescent="0.25">
      <c r="B1020" s="4" t="s">
        <v>2039</v>
      </c>
      <c r="C1020" s="4" t="s">
        <v>2040</v>
      </c>
      <c r="D1020" s="4">
        <v>232</v>
      </c>
      <c r="E1020" s="4">
        <v>2.3199999999999998</v>
      </c>
      <c r="F1020" s="5">
        <f t="shared" si="15"/>
        <v>9.9999999999999985E-3</v>
      </c>
    </row>
    <row r="1021" spans="1:7" x14ac:dyDescent="0.25">
      <c r="B1021" s="4" t="s">
        <v>2041</v>
      </c>
      <c r="C1021" s="4" t="s">
        <v>2042</v>
      </c>
      <c r="D1021" s="4">
        <v>5772</v>
      </c>
      <c r="E1021" s="4">
        <v>34.630000000000003</v>
      </c>
      <c r="F1021" s="5">
        <f t="shared" si="15"/>
        <v>5.9996534996534998E-3</v>
      </c>
    </row>
    <row r="1022" spans="1:7" x14ac:dyDescent="0.25">
      <c r="B1022" s="4" t="s">
        <v>2043</v>
      </c>
      <c r="C1022" s="4" t="s">
        <v>2044</v>
      </c>
      <c r="D1022" s="4">
        <v>19</v>
      </c>
      <c r="E1022" s="7">
        <v>0.02</v>
      </c>
      <c r="F1022" s="5">
        <f t="shared" si="15"/>
        <v>1.0526315789473684E-3</v>
      </c>
    </row>
    <row r="1023" spans="1:7" x14ac:dyDescent="0.25">
      <c r="B1023" s="4" t="s">
        <v>2045</v>
      </c>
      <c r="C1023" s="4" t="s">
        <v>2046</v>
      </c>
      <c r="D1023" s="4">
        <v>40</v>
      </c>
      <c r="E1023" s="7">
        <v>0.04</v>
      </c>
      <c r="F1023" s="5">
        <f t="shared" si="15"/>
        <v>1E-3</v>
      </c>
    </row>
  </sheetData>
  <autoFilter ref="A1:G1023" xr:uid="{17509C38-7289-4BDD-AC84-70A11DB1618A}">
    <sortState xmlns:xlrd2="http://schemas.microsoft.com/office/spreadsheetml/2017/richdata2" ref="A2:G1023">
      <sortCondition descending="1" ref="F1:F102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270F-6A02-46BD-BF37-441AE96C2ABF}">
  <sheetPr>
    <tabColor theme="6" tint="0.79998168889431442"/>
  </sheetPr>
  <dimension ref="A1:K31"/>
  <sheetViews>
    <sheetView showGridLines="0" workbookViewId="0">
      <selection activeCell="H31" sqref="H31"/>
    </sheetView>
  </sheetViews>
  <sheetFormatPr defaultColWidth="11.42578125" defaultRowHeight="15" x14ac:dyDescent="0.25"/>
  <cols>
    <col min="1" max="1" width="10" bestFit="1" customWidth="1"/>
    <col min="2" max="2" width="10.7109375" bestFit="1" customWidth="1"/>
    <col min="3" max="3" width="15.140625" bestFit="1" customWidth="1"/>
    <col min="4" max="4" width="39.85546875" bestFit="1" customWidth="1"/>
    <col min="5" max="5" width="15.42578125" bestFit="1" customWidth="1"/>
    <col min="6" max="6" width="14.140625" bestFit="1" customWidth="1"/>
    <col min="7" max="7" width="12.42578125" bestFit="1" customWidth="1"/>
    <col min="8" max="8" width="22.85546875" bestFit="1" customWidth="1"/>
    <col min="9" max="9" width="9.85546875" bestFit="1" customWidth="1"/>
  </cols>
  <sheetData>
    <row r="1" spans="1:11" x14ac:dyDescent="0.25">
      <c r="A1" s="8" t="s">
        <v>2047</v>
      </c>
      <c r="B1" s="8" t="s">
        <v>2048</v>
      </c>
      <c r="C1" s="8" t="s">
        <v>2049</v>
      </c>
      <c r="D1" s="8" t="s">
        <v>2050</v>
      </c>
      <c r="E1" s="8" t="s">
        <v>2051</v>
      </c>
      <c r="F1" s="8" t="s">
        <v>2052</v>
      </c>
      <c r="G1" s="8" t="s">
        <v>2053</v>
      </c>
      <c r="H1" s="8" t="s">
        <v>2054</v>
      </c>
      <c r="I1" s="8"/>
    </row>
    <row r="2" spans="1:11" x14ac:dyDescent="0.25">
      <c r="A2" s="4">
        <v>202500126</v>
      </c>
      <c r="B2" s="4" t="s">
        <v>2055</v>
      </c>
      <c r="C2" s="4" t="s">
        <v>36</v>
      </c>
      <c r="D2" s="4" t="s">
        <v>37</v>
      </c>
      <c r="E2" s="4"/>
      <c r="F2" s="7">
        <v>1751.34</v>
      </c>
      <c r="G2" s="4">
        <v>0</v>
      </c>
      <c r="H2" s="7">
        <v>1751.34</v>
      </c>
      <c r="I2" s="9"/>
      <c r="K2" t="str">
        <f>+VLOOKUP(C2,Inventario!B:B,1,FALSE)</f>
        <v>SPEC-685_c</v>
      </c>
    </row>
    <row r="3" spans="1:11" x14ac:dyDescent="0.25">
      <c r="A3" s="4">
        <v>202600088</v>
      </c>
      <c r="B3" s="4" t="s">
        <v>2055</v>
      </c>
      <c r="C3" s="4" t="s">
        <v>236</v>
      </c>
      <c r="D3" s="4" t="s">
        <v>237</v>
      </c>
      <c r="E3" s="4"/>
      <c r="F3" s="4">
        <v>387.86</v>
      </c>
      <c r="G3" s="4">
        <v>232.71</v>
      </c>
      <c r="H3" s="4">
        <v>155.15</v>
      </c>
      <c r="I3" s="9"/>
      <c r="K3" t="str">
        <f>+VLOOKUP(C3,Inventario!B:B,1,FALSE)</f>
        <v>SPEC-234</v>
      </c>
    </row>
    <row r="4" spans="1:11" x14ac:dyDescent="0.25">
      <c r="A4" s="4">
        <v>202600122</v>
      </c>
      <c r="B4" s="4" t="s">
        <v>2055</v>
      </c>
      <c r="C4" s="4" t="s">
        <v>17</v>
      </c>
      <c r="D4" s="4" t="s">
        <v>18</v>
      </c>
      <c r="E4" s="4"/>
      <c r="F4" s="7">
        <v>25860.52</v>
      </c>
      <c r="G4" s="7">
        <v>5178.82</v>
      </c>
      <c r="H4" s="4">
        <v>20681.7</v>
      </c>
      <c r="I4" s="9"/>
      <c r="K4" t="str">
        <f>+VLOOKUP(C4,Inventario!B:B,1,FALSE)</f>
        <v>SPEC-745</v>
      </c>
    </row>
    <row r="5" spans="1:11" x14ac:dyDescent="0.25">
      <c r="A5" s="4">
        <v>202600123</v>
      </c>
      <c r="B5" s="4" t="s">
        <v>2055</v>
      </c>
      <c r="C5" s="4" t="s">
        <v>88</v>
      </c>
      <c r="D5" s="4" t="s">
        <v>89</v>
      </c>
      <c r="E5" s="4"/>
      <c r="F5" s="4">
        <v>1702.43</v>
      </c>
      <c r="G5" s="4">
        <v>0</v>
      </c>
      <c r="H5" s="4">
        <v>1702.43</v>
      </c>
      <c r="I5" s="9"/>
      <c r="K5" t="str">
        <f>+VLOOKUP(C5,Inventario!B:B,1,FALSE)</f>
        <v>SPEC-746</v>
      </c>
    </row>
    <row r="6" spans="1:11" x14ac:dyDescent="0.25">
      <c r="A6" s="4">
        <v>202600124</v>
      </c>
      <c r="B6" s="4" t="s">
        <v>2055</v>
      </c>
      <c r="C6" s="4" t="s">
        <v>108</v>
      </c>
      <c r="D6" s="4" t="s">
        <v>109</v>
      </c>
      <c r="E6" s="4"/>
      <c r="F6" s="7">
        <v>1526.81</v>
      </c>
      <c r="G6" s="7">
        <v>0</v>
      </c>
      <c r="H6" s="4">
        <v>1526.81</v>
      </c>
      <c r="I6" s="9"/>
      <c r="K6" t="str">
        <f>+VLOOKUP(C6,Inventario!B:B,1,FALSE)</f>
        <v>SPEC-748</v>
      </c>
    </row>
    <row r="7" spans="1:11" x14ac:dyDescent="0.25">
      <c r="A7" s="4">
        <v>202600125</v>
      </c>
      <c r="B7" s="4" t="s">
        <v>2055</v>
      </c>
      <c r="C7" s="4" t="s">
        <v>114</v>
      </c>
      <c r="D7" s="4" t="s">
        <v>115</v>
      </c>
      <c r="E7" s="4"/>
      <c r="F7" s="7">
        <v>1386.29</v>
      </c>
      <c r="G7" s="7">
        <v>0</v>
      </c>
      <c r="H7" s="7">
        <v>1386.29</v>
      </c>
      <c r="I7" s="9"/>
      <c r="K7" t="str">
        <f>+VLOOKUP(C7,Inventario!B:B,1,FALSE)</f>
        <v>SPEC-749</v>
      </c>
    </row>
    <row r="8" spans="1:11" x14ac:dyDescent="0.25">
      <c r="A8" s="4">
        <v>202600178</v>
      </c>
      <c r="B8" s="4" t="s">
        <v>2055</v>
      </c>
      <c r="C8" s="4" t="s">
        <v>33</v>
      </c>
      <c r="D8" s="4" t="s">
        <v>34</v>
      </c>
      <c r="E8" s="4"/>
      <c r="F8" s="7">
        <v>4473.96</v>
      </c>
      <c r="G8" s="4">
        <v>0</v>
      </c>
      <c r="H8" s="7">
        <v>4473.96</v>
      </c>
      <c r="I8" s="9"/>
      <c r="K8" t="str">
        <f>+VLOOKUP(C8,Inventario!B:B,1,FALSE)</f>
        <v>SPEC-711_c</v>
      </c>
    </row>
    <row r="9" spans="1:11" x14ac:dyDescent="0.25">
      <c r="A9" s="4">
        <v>202600262</v>
      </c>
      <c r="B9" s="4" t="s">
        <v>2055</v>
      </c>
      <c r="C9" s="4" t="s">
        <v>23</v>
      </c>
      <c r="D9" s="4" t="s">
        <v>24</v>
      </c>
      <c r="E9" s="4"/>
      <c r="F9" s="7">
        <v>23910.79</v>
      </c>
      <c r="G9" s="4">
        <v>12465.43</v>
      </c>
      <c r="H9" s="7">
        <v>11445.36</v>
      </c>
      <c r="I9" s="9"/>
      <c r="K9" t="str">
        <f>+VLOOKUP(C9,Inventario!B:B,1,FALSE)</f>
        <v>SPEC-212_c</v>
      </c>
    </row>
    <row r="10" spans="1:11" x14ac:dyDescent="0.25">
      <c r="A10" s="4">
        <v>202600274</v>
      </c>
      <c r="B10" s="4" t="s">
        <v>2055</v>
      </c>
      <c r="C10" s="4" t="s">
        <v>21</v>
      </c>
      <c r="D10" s="4" t="s">
        <v>22</v>
      </c>
      <c r="E10" s="4"/>
      <c r="F10" s="7">
        <v>21270.14</v>
      </c>
      <c r="G10" s="4">
        <v>8489.7099999999991</v>
      </c>
      <c r="H10" s="7">
        <v>12780.43</v>
      </c>
      <c r="I10" s="9"/>
      <c r="K10" t="str">
        <f>+VLOOKUP(C10,Inventario!B:B,1,FALSE)</f>
        <v>SPEC-1393</v>
      </c>
    </row>
    <row r="11" spans="1:11" x14ac:dyDescent="0.25">
      <c r="A11" s="4">
        <v>202600289</v>
      </c>
      <c r="B11" s="4" t="s">
        <v>2055</v>
      </c>
      <c r="C11" s="4" t="s">
        <v>2056</v>
      </c>
      <c r="D11" s="4" t="s">
        <v>2057</v>
      </c>
      <c r="E11" s="4"/>
      <c r="F11" s="7">
        <v>16662.71</v>
      </c>
      <c r="G11" s="4">
        <v>3336.97</v>
      </c>
      <c r="H11" s="7">
        <v>13325.74</v>
      </c>
      <c r="I11" s="9"/>
      <c r="K11" t="e">
        <f>+VLOOKUP(C11,Inventario!B:B,1,FALSE)</f>
        <v>#N/A</v>
      </c>
    </row>
    <row r="12" spans="1:11" x14ac:dyDescent="0.25">
      <c r="A12" s="4">
        <v>202600299</v>
      </c>
      <c r="B12" s="4" t="s">
        <v>2055</v>
      </c>
      <c r="C12" s="4" t="s">
        <v>238</v>
      </c>
      <c r="D12" s="4" t="s">
        <v>239</v>
      </c>
      <c r="E12" s="4"/>
      <c r="F12" s="7">
        <v>3729.66</v>
      </c>
      <c r="G12" s="4">
        <v>2163.21</v>
      </c>
      <c r="H12" s="7">
        <v>1566.45</v>
      </c>
      <c r="I12" s="9"/>
      <c r="K12" t="str">
        <f>+VLOOKUP(C12,Inventario!B:B,1,FALSE)</f>
        <v>SPEC-232</v>
      </c>
    </row>
    <row r="13" spans="1:11" x14ac:dyDescent="0.25">
      <c r="A13" s="4">
        <v>202600300</v>
      </c>
      <c r="B13" s="4" t="s">
        <v>2055</v>
      </c>
      <c r="C13" s="4" t="s">
        <v>211</v>
      </c>
      <c r="D13" s="4" t="s">
        <v>212</v>
      </c>
      <c r="E13" s="4"/>
      <c r="F13" s="7">
        <v>2091.4499999999998</v>
      </c>
      <c r="G13" s="7">
        <v>1840.48</v>
      </c>
      <c r="H13" s="7">
        <v>250.97</v>
      </c>
      <c r="I13" s="9"/>
      <c r="K13" t="str">
        <f>+VLOOKUP(C13,Inventario!B:B,1,FALSE)</f>
        <v>SPEC-226</v>
      </c>
    </row>
    <row r="14" spans="1:11" x14ac:dyDescent="0.25">
      <c r="A14" s="4">
        <v>202600316</v>
      </c>
      <c r="B14" s="4" t="s">
        <v>2055</v>
      </c>
      <c r="C14" s="4" t="s">
        <v>211</v>
      </c>
      <c r="D14" s="4" t="s">
        <v>212</v>
      </c>
      <c r="E14" s="4"/>
      <c r="F14" s="7">
        <v>2091.4299999999998</v>
      </c>
      <c r="G14" s="7">
        <v>0</v>
      </c>
      <c r="H14" s="4">
        <v>2091.4299999999998</v>
      </c>
      <c r="I14" s="9"/>
      <c r="K14" t="str">
        <f>+VLOOKUP(C14,Inventario!B:B,1,FALSE)</f>
        <v>SPEC-226</v>
      </c>
    </row>
    <row r="15" spans="1:11" x14ac:dyDescent="0.25">
      <c r="A15" s="4">
        <v>202600319</v>
      </c>
      <c r="B15" s="4" t="s">
        <v>2055</v>
      </c>
      <c r="C15" s="4" t="s">
        <v>238</v>
      </c>
      <c r="D15" s="4" t="s">
        <v>239</v>
      </c>
      <c r="E15" s="4"/>
      <c r="F15" s="7">
        <v>3731.97</v>
      </c>
      <c r="G15" s="7">
        <v>0</v>
      </c>
      <c r="H15" s="7">
        <v>3731.97</v>
      </c>
      <c r="I15" s="9"/>
      <c r="K15" t="str">
        <f>+VLOOKUP(C15,Inventario!B:B,1,FALSE)</f>
        <v>SPEC-232</v>
      </c>
    </row>
    <row r="16" spans="1:11" x14ac:dyDescent="0.25">
      <c r="A16" s="4">
        <v>202600342</v>
      </c>
      <c r="B16" s="4" t="s">
        <v>2055</v>
      </c>
      <c r="C16" s="4" t="s">
        <v>2058</v>
      </c>
      <c r="D16" s="4" t="s">
        <v>2059</v>
      </c>
      <c r="E16" s="4"/>
      <c r="F16" s="7">
        <v>441.82</v>
      </c>
      <c r="G16" s="4">
        <v>0</v>
      </c>
      <c r="H16" s="7">
        <v>441.82</v>
      </c>
      <c r="I16" s="9"/>
      <c r="K16" t="e">
        <f>+VLOOKUP(C16,Inventario!B:B,1,FALSE)</f>
        <v>#N/A</v>
      </c>
    </row>
    <row r="17" spans="1:11" x14ac:dyDescent="0.25">
      <c r="A17" s="4">
        <v>202600354</v>
      </c>
      <c r="B17" s="4" t="s">
        <v>2055</v>
      </c>
      <c r="C17" s="4" t="s">
        <v>238</v>
      </c>
      <c r="D17" s="4" t="s">
        <v>239</v>
      </c>
      <c r="E17" s="4"/>
      <c r="F17" s="7">
        <v>205.49</v>
      </c>
      <c r="G17" s="4">
        <v>0</v>
      </c>
      <c r="H17" s="7">
        <v>205.49</v>
      </c>
      <c r="I17" s="9"/>
      <c r="K17" t="str">
        <f>+VLOOKUP(C17,Inventario!B:B,1,FALSE)</f>
        <v>SPEC-232</v>
      </c>
    </row>
    <row r="18" spans="1:11" x14ac:dyDescent="0.25">
      <c r="A18" s="4">
        <v>202600362</v>
      </c>
      <c r="B18" s="4" t="s">
        <v>2055</v>
      </c>
      <c r="C18" s="4" t="s">
        <v>27</v>
      </c>
      <c r="D18" s="4" t="s">
        <v>28</v>
      </c>
      <c r="E18" s="4"/>
      <c r="F18" s="7">
        <v>20990.92</v>
      </c>
      <c r="G18" s="4">
        <v>8398.92</v>
      </c>
      <c r="H18" s="7">
        <v>12592</v>
      </c>
      <c r="I18" s="9"/>
      <c r="K18" t="str">
        <f>+VLOOKUP(C18,Inventario!B:B,1,FALSE)</f>
        <v>SPEC-1392</v>
      </c>
    </row>
    <row r="19" spans="1:11" x14ac:dyDescent="0.25">
      <c r="A19" s="4">
        <v>202600388</v>
      </c>
      <c r="B19" s="4" t="s">
        <v>2055</v>
      </c>
      <c r="C19" s="4" t="s">
        <v>110</v>
      </c>
      <c r="D19" s="4" t="s">
        <v>111</v>
      </c>
      <c r="E19" s="4"/>
      <c r="F19" s="7">
        <v>10274.219999999999</v>
      </c>
      <c r="G19" s="7">
        <v>0</v>
      </c>
      <c r="H19" s="7">
        <v>10274.219999999999</v>
      </c>
      <c r="I19" s="9"/>
      <c r="K19" t="str">
        <f>+VLOOKUP(C19,Inventario!B:B,1,FALSE)</f>
        <v>SPEC-594_c</v>
      </c>
    </row>
    <row r="20" spans="1:11" x14ac:dyDescent="0.25">
      <c r="A20" s="4">
        <v>202600390</v>
      </c>
      <c r="B20" s="4" t="s">
        <v>2055</v>
      </c>
      <c r="C20" s="4" t="s">
        <v>25</v>
      </c>
      <c r="D20" s="4" t="s">
        <v>26</v>
      </c>
      <c r="E20" s="4"/>
      <c r="F20" s="7">
        <v>80213.38</v>
      </c>
      <c r="G20" s="7">
        <v>49760.02</v>
      </c>
      <c r="H20" s="7">
        <v>30453.360000000001</v>
      </c>
      <c r="I20" s="9"/>
      <c r="K20" t="str">
        <f>+VLOOKUP(C20,Inventario!B:B,1,FALSE)</f>
        <v>SPEC-683_c</v>
      </c>
    </row>
    <row r="21" spans="1:11" x14ac:dyDescent="0.25">
      <c r="A21" s="4">
        <v>202600395</v>
      </c>
      <c r="B21" s="4" t="s">
        <v>2055</v>
      </c>
      <c r="C21" s="4" t="s">
        <v>238</v>
      </c>
      <c r="D21" s="4" t="s">
        <v>239</v>
      </c>
      <c r="E21" s="4"/>
      <c r="F21" s="4">
        <v>447.15</v>
      </c>
      <c r="G21" s="4">
        <v>223.58</v>
      </c>
      <c r="H21" s="4">
        <v>223.57</v>
      </c>
      <c r="I21" s="9"/>
      <c r="K21" t="str">
        <f>+VLOOKUP(C21,Inventario!B:B,1,FALSE)</f>
        <v>SPEC-232</v>
      </c>
    </row>
    <row r="22" spans="1:11" x14ac:dyDescent="0.25">
      <c r="A22" s="4">
        <v>202600407</v>
      </c>
      <c r="B22" s="4" t="s">
        <v>2055</v>
      </c>
      <c r="C22" s="4" t="s">
        <v>38</v>
      </c>
      <c r="D22" s="4" t="s">
        <v>39</v>
      </c>
      <c r="E22" s="4"/>
      <c r="F22" s="7">
        <v>21025.78</v>
      </c>
      <c r="G22" s="4">
        <v>10515.05</v>
      </c>
      <c r="H22" s="7">
        <v>10510.73</v>
      </c>
      <c r="I22" s="9"/>
      <c r="K22" t="str">
        <f>+VLOOKUP(C22,Inventario!B:B,1,FALSE)</f>
        <v>SPEC-687_c</v>
      </c>
    </row>
    <row r="23" spans="1:11" x14ac:dyDescent="0.25">
      <c r="A23" s="4">
        <v>202600408</v>
      </c>
      <c r="B23" s="4" t="s">
        <v>2055</v>
      </c>
      <c r="C23" s="4" t="s">
        <v>2060</v>
      </c>
      <c r="D23" s="4" t="s">
        <v>2061</v>
      </c>
      <c r="E23" s="4"/>
      <c r="F23" s="7">
        <v>33455.230000000003</v>
      </c>
      <c r="G23" s="4">
        <v>0</v>
      </c>
      <c r="H23" s="7">
        <v>33455.230000000003</v>
      </c>
      <c r="I23" s="9"/>
      <c r="K23" t="e">
        <f>+VLOOKUP(C23,Inventario!B:B,1,FALSE)</f>
        <v>#N/A</v>
      </c>
    </row>
    <row r="24" spans="1:11" x14ac:dyDescent="0.25">
      <c r="A24" s="4">
        <v>202600416</v>
      </c>
      <c r="B24" s="4" t="s">
        <v>2055</v>
      </c>
      <c r="C24" s="4" t="s">
        <v>40</v>
      </c>
      <c r="D24" s="4" t="s">
        <v>41</v>
      </c>
      <c r="E24" s="4"/>
      <c r="F24" s="4">
        <v>10490.64</v>
      </c>
      <c r="G24" s="4">
        <v>3496.89</v>
      </c>
      <c r="H24" s="4">
        <v>6993.75</v>
      </c>
      <c r="I24" s="9"/>
      <c r="K24" t="str">
        <f>+VLOOKUP(C24,Inventario!B:B,1,FALSE)</f>
        <v>SPEC-330</v>
      </c>
    </row>
    <row r="25" spans="1:11" x14ac:dyDescent="0.25">
      <c r="A25" s="4">
        <v>202600417</v>
      </c>
      <c r="B25" s="4" t="s">
        <v>2055</v>
      </c>
      <c r="C25" s="4" t="s">
        <v>933</v>
      </c>
      <c r="D25" s="4" t="s">
        <v>934</v>
      </c>
      <c r="E25" s="4"/>
      <c r="F25" s="7">
        <v>281.85000000000002</v>
      </c>
      <c r="G25" s="4">
        <v>0</v>
      </c>
      <c r="H25" s="7">
        <v>281.85000000000002</v>
      </c>
      <c r="I25" s="9"/>
      <c r="K25" t="str">
        <f>+VLOOKUP(C25,Inventario!B:B,1,FALSE)</f>
        <v>SPEC-366</v>
      </c>
    </row>
    <row r="26" spans="1:11" x14ac:dyDescent="0.25">
      <c r="A26" s="4">
        <v>202600421</v>
      </c>
      <c r="B26" s="4" t="s">
        <v>2055</v>
      </c>
      <c r="C26" s="4" t="s">
        <v>46</v>
      </c>
      <c r="D26" s="4" t="s">
        <v>47</v>
      </c>
      <c r="E26" s="4"/>
      <c r="F26" s="7">
        <v>7365.73</v>
      </c>
      <c r="G26" s="7">
        <v>0</v>
      </c>
      <c r="H26" s="7">
        <v>7365.73</v>
      </c>
      <c r="I26" s="9"/>
      <c r="K26" t="str">
        <f>+VLOOKUP(C26,Inventario!B:B,1,FALSE)</f>
        <v>SPEC-1396</v>
      </c>
    </row>
    <row r="27" spans="1:11" x14ac:dyDescent="0.25">
      <c r="A27" s="4">
        <v>202500127</v>
      </c>
      <c r="B27" s="4"/>
      <c r="C27" s="4" t="s">
        <v>2062</v>
      </c>
      <c r="D27" s="4" t="s">
        <v>2063</v>
      </c>
      <c r="E27" s="4"/>
      <c r="F27" s="7">
        <v>33455.230000000003</v>
      </c>
      <c r="G27" s="4">
        <v>0</v>
      </c>
      <c r="H27" s="7">
        <v>33455.230000000003</v>
      </c>
      <c r="I27" s="9"/>
      <c r="K27" t="e">
        <f>+VLOOKUP(C27,Inventario!B:B,1,FALSE)</f>
        <v>#N/A</v>
      </c>
    </row>
    <row r="28" spans="1:11" x14ac:dyDescent="0.25">
      <c r="A28" s="4">
        <v>202600422</v>
      </c>
      <c r="B28" s="4" t="s">
        <v>2055</v>
      </c>
      <c r="C28" s="4" t="s">
        <v>38</v>
      </c>
      <c r="D28" s="4" t="s">
        <v>39</v>
      </c>
      <c r="E28" s="4"/>
      <c r="F28" s="7">
        <v>3496.29</v>
      </c>
      <c r="G28" s="4">
        <v>0</v>
      </c>
      <c r="H28" s="7">
        <v>3496.29</v>
      </c>
      <c r="I28" s="9" t="s">
        <v>2064</v>
      </c>
      <c r="K28" t="str">
        <f>+VLOOKUP(C28,Inventario!B:B,1,FALSE)</f>
        <v>SPEC-687_c</v>
      </c>
    </row>
    <row r="31" spans="1:11" x14ac:dyDescent="0.25">
      <c r="A31" s="10"/>
      <c r="B31" s="10"/>
      <c r="C31" s="10"/>
      <c r="D31" s="10"/>
      <c r="E31" s="10"/>
      <c r="F31" s="10"/>
      <c r="G31" s="10"/>
      <c r="H31" s="11" t="s">
        <v>2065</v>
      </c>
      <c r="I31" s="12">
        <f>+SUM(H2:H28)</f>
        <v>226619.30000000008</v>
      </c>
    </row>
  </sheetData>
  <autoFilter ref="A1:H28" xr:uid="{30952083-5240-44A7-872B-8BC32EC9F954}">
    <sortState xmlns:xlrd2="http://schemas.microsoft.com/office/spreadsheetml/2017/richdata2" ref="A2:H28">
      <sortCondition descending="1" ref="H1:H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</vt:lpstr>
      <vt:lpstr>Stock en Vuelo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Ortiz Figueroa</dc:creator>
  <cp:lastModifiedBy>Ignacio Ortiz Figueroa</cp:lastModifiedBy>
  <dcterms:created xsi:type="dcterms:W3CDTF">2026-05-27T21:01:15Z</dcterms:created>
  <dcterms:modified xsi:type="dcterms:W3CDTF">2026-05-27T21:01:36Z</dcterms:modified>
</cp:coreProperties>
</file>